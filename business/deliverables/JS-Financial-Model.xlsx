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Startup Costs" sheetId="2" state="visible" r:id="rId2"/>
    <sheet name="Annual Summary" sheetId="3" state="visible" r:id="rId3"/>
    <sheet name="Month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;(#,##0.0);&quot;-&quot;"/>
    <numFmt numFmtId="165" formatCode="$#,##0;($#,##0);&quot;-&quot;"/>
    <numFmt numFmtId="166" formatCode="0.0%;(0.0%);&quot;-&quot;"/>
    <numFmt numFmtId="167" formatCode="$#,##0.00;($#,##0.00);&quot;-&quot;"/>
    <numFmt numFmtId="168" formatCode="#,##0;(#,##0);&quot;-&quot;"/>
    <numFmt numFmtId="169" formatCode="0.000%"/>
    <numFmt numFmtId="170" formatCode="0.00&quot;x&quot;;(0.00&quot;x&quot;);&quot;-&quot;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color rgb="00555555"/>
      <sz val="10"/>
    </font>
    <font>
      <name val="Arial"/>
      <b val="1"/>
      <color rgb="00000000"/>
      <sz val="10"/>
    </font>
    <font>
      <name val="Arial"/>
      <color rgb="00008000"/>
      <sz val="10"/>
    </font>
    <font>
      <name val="Arial"/>
      <b val="1"/>
      <color rgb="00008000"/>
      <sz val="10"/>
    </font>
  </fonts>
  <fills count="5">
    <fill>
      <patternFill/>
    </fill>
    <fill>
      <patternFill patternType="gray125"/>
    </fill>
    <fill>
      <patternFill patternType="solid">
        <fgColor rgb="000B1F3F"/>
      </patternFill>
    </fill>
    <fill>
      <patternFill patternType="solid">
        <fgColor rgb="00E6EB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3" borderId="0" applyAlignment="1" pivotButton="0" quotePrefix="0" xfId="0">
      <alignment vertical="top" wrapText="1"/>
    </xf>
    <xf numFmtId="0" fontId="5" fillId="0" borderId="0" pivotButton="0" quotePrefix="0" xfId="0"/>
    <xf numFmtId="164" fontId="6" fillId="4" borderId="0" pivotButton="0" quotePrefix="0" xfId="0"/>
    <xf numFmtId="165" fontId="6" fillId="4" borderId="0" pivotButton="0" quotePrefix="0" xfId="0"/>
    <xf numFmtId="166" fontId="6" fillId="0" borderId="0" pivotButton="0" quotePrefix="0" xfId="0"/>
    <xf numFmtId="165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164" fontId="8" fillId="0" borderId="0" pivotButton="0" quotePrefix="0" xfId="0"/>
    <xf numFmtId="166" fontId="5" fillId="0" borderId="0" pivotButton="0" quotePrefix="0" xfId="0"/>
    <xf numFmtId="165" fontId="8" fillId="0" borderId="0" pivotButton="0" quotePrefix="0" xfId="0"/>
    <xf numFmtId="166" fontId="6" fillId="4" borderId="0" pivotButton="0" quotePrefix="0" xfId="0"/>
    <xf numFmtId="0" fontId="4" fillId="0" borderId="0" pivotButton="0" quotePrefix="0" xfId="0"/>
    <xf numFmtId="164" fontId="5" fillId="0" borderId="0" pivotButton="0" quotePrefix="0" xfId="0"/>
    <xf numFmtId="164" fontId="6" fillId="0" borderId="0" pivotButton="0" quotePrefix="0" xfId="0"/>
    <xf numFmtId="167" fontId="6" fillId="4" borderId="0" pivotButton="0" quotePrefix="0" xfId="0"/>
    <xf numFmtId="168" fontId="6" fillId="4" borderId="0" pivotButton="0" quotePrefix="0" xfId="0"/>
    <xf numFmtId="165" fontId="6" fillId="0" borderId="0" pivotButton="0" quotePrefix="0" xfId="0"/>
    <xf numFmtId="168" fontId="6" fillId="0" borderId="0" pivotButton="0" quotePrefix="0" xfId="0"/>
    <xf numFmtId="169" fontId="6" fillId="0" borderId="0" pivotButton="0" quotePrefix="0" xfId="0"/>
    <xf numFmtId="0" fontId="4" fillId="3" borderId="0" pivotButton="0" quotePrefix="0" xfId="0"/>
    <xf numFmtId="165" fontId="9" fillId="0" borderId="0" pivotButton="0" quotePrefix="0" xfId="0"/>
    <xf numFmtId="165" fontId="8" fillId="0" borderId="1" pivotButton="0" quotePrefix="0" xfId="0"/>
    <xf numFmtId="0" fontId="8" fillId="3" borderId="0" pivotButton="0" quotePrefix="0" xfId="0"/>
    <xf numFmtId="165" fontId="10" fillId="0" borderId="0" pivotButton="0" quotePrefix="0" xfId="0"/>
    <xf numFmtId="168" fontId="9" fillId="0" borderId="0" pivotButton="0" quotePrefix="0" xfId="0"/>
    <xf numFmtId="168" fontId="5" fillId="0" borderId="0" pivotButton="0" quotePrefix="0" xfId="0"/>
    <xf numFmtId="170" fontId="5" fillId="0" borderId="0" pivotButton="0" quotePrefix="0" xfId="0"/>
    <xf numFmtId="168" fontId="8" fillId="3" borderId="0" pivotButton="0" quotePrefix="0" xfId="0"/>
    <xf numFmtId="164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Model</author>
  </authors>
  <commentList>
    <comment ref="B21" authorId="0" shapeId="0">
      <text>
        <t>About $204k a year per journeyman: 1,250 billable hours at $150 plus materials. Benchmark $207k to $400k revenue per technician (Simpro, BuildOps).</t>
      </text>
    </comment>
    <comment ref="B74" authorId="0" shapeId="0">
      <text>
        <t>WCRIBMA rate $1.475 per $100 of payroll effective 7/1/2024; subject to revision.</t>
      </text>
    </comment>
  </commentList>
</comments>
</file>

<file path=xl/comments/comment2.xml><?xml version="1.0" encoding="utf-8"?>
<comments xmlns="http://schemas.openxmlformats.org/spreadsheetml/2006/main">
  <authors>
    <author>Model</author>
  </authors>
  <commentList>
    <comment ref="A69" authorId="0" shapeId="0">
      <text>
        <t>Month 1 opens with the working-capital reserve from the Startup Costs sheet; all other startup purchases are made before month 1.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2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JS Contracting &amp; Electrical Services: financial model assumptions</t>
        </is>
      </c>
    </row>
    <row r="2">
      <c r="A2" s="2" t="inlineStr">
        <is>
          <t>Blue cells are inputs; yellow cells are the key levers. Black cells are formulas. Every other sheet is driven from here. Month 1 is the first month of operations.</t>
        </is>
      </c>
    </row>
    <row r="3">
      <c r="A3" s="2" t="inlineStr">
        <is>
          <t>Figures are planning assumptions set from the market research in business/research (October 2026) and should be replaced by the owner's own numbers.</t>
        </is>
      </c>
    </row>
    <row r="5">
      <c r="A5" s="3" t="inlineStr">
        <is>
          <t>Service lines (year 1 run rate; months 1 to 6 ramp up via the seasonal factors)</t>
        </is>
      </c>
      <c r="B5" s="4" t="n"/>
      <c r="C5" s="4" t="n"/>
      <c r="D5" s="4" t="n"/>
      <c r="E5" s="4" t="n"/>
      <c r="F5" s="4" t="n"/>
      <c r="G5" s="4" t="n"/>
      <c r="H5" s="4" t="n"/>
    </row>
    <row r="6" ht="42" customHeight="1">
      <c r="A6" s="5" t="inlineStr">
        <is>
          <t>Service line</t>
        </is>
      </c>
      <c r="B6" s="5" t="inlineStr">
        <is>
          <t>Jobs per month at run rate</t>
        </is>
      </c>
      <c r="C6" s="5" t="inlineStr">
        <is>
          <t>Average ticket ($)</t>
        </is>
      </c>
      <c r="D6" s="5" t="inlineStr">
        <is>
          <t>Materials, equipment and subs (% of price)</t>
        </is>
      </c>
      <c r="E6" s="5" t="inlineStr">
        <is>
          <t>Revenue per month at run rate ($)</t>
        </is>
      </c>
      <c r="F6" s="5" t="inlineStr">
        <is>
          <t>Source / note</t>
        </is>
      </c>
    </row>
    <row r="7">
      <c r="A7" s="6" t="inlineStr">
        <is>
          <t>Service calls and repairs</t>
        </is>
      </c>
      <c r="B7" s="7" t="n">
        <v>14</v>
      </c>
      <c r="C7" s="8" t="n">
        <v>350</v>
      </c>
      <c r="D7" s="9" t="n">
        <v>0.2</v>
      </c>
      <c r="E7" s="10">
        <f>B7*C7</f>
        <v/>
      </c>
      <c r="F7" s="11" t="inlineStr">
        <is>
          <t>First-hour $175 to $250 then hourly; MA service fees $75 to $175 (HomeGuide Lowell)</t>
        </is>
      </c>
    </row>
    <row r="8">
      <c r="A8" s="6" t="inlineStr">
        <is>
          <t>Panel upgrades and service changes</t>
        </is>
      </c>
      <c r="B8" s="7" t="n">
        <v>2</v>
      </c>
      <c r="C8" s="8" t="n">
        <v>4200</v>
      </c>
      <c r="D8" s="9" t="n">
        <v>0.35</v>
      </c>
      <c r="E8" s="10">
        <f>B8*C8</f>
        <v/>
      </c>
      <c r="F8" s="11" t="inlineStr">
        <is>
          <t>JS price $3,000 to $6,000; MA market $2,500 to $8,000, avg about $4,000 (EngineerFix)</t>
        </is>
      </c>
    </row>
    <row r="9">
      <c r="A9" s="6" t="inlineStr">
        <is>
          <t>EV charger installations</t>
        </is>
      </c>
      <c r="B9" s="7" t="n">
        <v>2.5</v>
      </c>
      <c r="C9" s="8" t="n">
        <v>1600</v>
      </c>
      <c r="D9" s="9" t="n">
        <v>0.3</v>
      </c>
      <c r="E9" s="10">
        <f>B9*C9</f>
        <v/>
      </c>
      <c r="F9" s="11" t="inlineStr">
        <is>
          <t>JS $900 to $2,500 wiring; MA installed $1,200 to $3,000 (NuWatt); charger supplied on some jobs</t>
        </is>
      </c>
    </row>
    <row r="10">
      <c r="A10" s="6" t="inlineStr">
        <is>
          <t>Standby generators</t>
        </is>
      </c>
      <c r="B10" s="7" t="n">
        <v>0.4</v>
      </c>
      <c r="C10" s="8" t="n">
        <v>14000</v>
      </c>
      <c r="D10" s="9" t="n">
        <v>0.58</v>
      </c>
      <c r="E10" s="10">
        <f>B10*C10</f>
        <v/>
      </c>
      <c r="F10" s="11" t="inlineStr">
        <is>
          <t>20 to 26 kW with transfer switch; Boston area $12,000 to $22,000 (ConsumerAffairs); unit and ATS are most of the cost</t>
        </is>
      </c>
    </row>
    <row r="11">
      <c r="A11" s="6" t="inlineStr">
        <is>
          <t>Generator inlets and interlocks</t>
        </is>
      </c>
      <c r="B11" s="7" t="n">
        <v>0.8</v>
      </c>
      <c r="C11" s="8" t="n">
        <v>1300</v>
      </c>
      <c r="D11" s="9" t="n">
        <v>0.35</v>
      </c>
      <c r="E11" s="10">
        <f>B11*C11</f>
        <v/>
      </c>
      <c r="F11" s="11" t="inlineStr">
        <is>
          <t>JS $900 to $1,800</t>
        </is>
      </c>
    </row>
    <row r="12">
      <c r="A12" s="6" t="inlineStr">
        <is>
          <t>Lighting and fans</t>
        </is>
      </c>
      <c r="B12" s="7" t="n">
        <v>3</v>
      </c>
      <c r="C12" s="8" t="n">
        <v>1100</v>
      </c>
      <c r="D12" s="9" t="n">
        <v>0.35</v>
      </c>
      <c r="E12" s="10">
        <f>B12*C12</f>
        <v/>
      </c>
      <c r="F12" s="11" t="inlineStr">
        <is>
          <t>Six-light kitchen $1,200 to $2,000; fan $200 to $450</t>
        </is>
      </c>
    </row>
    <row r="13">
      <c r="A13" s="6" t="inlineStr">
        <is>
          <t>Remodel contracting</t>
        </is>
      </c>
      <c r="B13" s="7" t="n">
        <v>0.12</v>
      </c>
      <c r="C13" s="8" t="n">
        <v>35000</v>
      </c>
      <c r="D13" s="9" t="n">
        <v>0.6</v>
      </c>
      <c r="E13" s="10">
        <f>B13*C13</f>
        <v/>
      </c>
      <c r="F13" s="11" t="inlineStr">
        <is>
          <t>Basement, kitchen or bath at fixed price; subs and materials about 60%</t>
        </is>
      </c>
    </row>
    <row r="14">
      <c r="A14" s="12" t="inlineStr">
        <is>
          <t>Total at run rate</t>
        </is>
      </c>
      <c r="B14" s="13">
        <f>SUM(B7:B13)</f>
        <v/>
      </c>
      <c r="D14" s="14">
        <f>IF(E14=0,0,SUMPRODUCT(D7:D13,E7:E13)/E14)</f>
        <v/>
      </c>
      <c r="E14" s="15">
        <f>SUM(E7:E13)</f>
        <v/>
      </c>
      <c r="F14" s="2" t="inlineStr">
        <is>
          <t>Blended material cost share</t>
        </is>
      </c>
    </row>
    <row r="16">
      <c r="A16" s="3" t="inlineStr">
        <is>
          <t>Growth and pricing</t>
        </is>
      </c>
      <c r="B16" s="4" t="n"/>
      <c r="C16" s="4" t="n"/>
      <c r="D16" s="4" t="n"/>
      <c r="E16" s="4" t="n"/>
      <c r="F16" s="4" t="n"/>
      <c r="G16" s="4" t="n"/>
      <c r="H16" s="4" t="n"/>
    </row>
    <row r="17">
      <c r="A17" s="6" t="inlineStr">
        <is>
          <t>Price increase, year 2 (applies to all tickets)</t>
        </is>
      </c>
      <c r="B17" s="9" t="n">
        <v>0.03</v>
      </c>
    </row>
    <row r="18">
      <c r="A18" s="6" t="inlineStr">
        <is>
          <t>Price increase, year 3</t>
        </is>
      </c>
      <c r="B18" s="9" t="n">
        <v>0.03</v>
      </c>
    </row>
    <row r="19">
      <c r="A19" s="6" t="inlineStr">
        <is>
          <t>Volume growth of the base lines, year 2 (owner + apprentice efficiency, referrals)</t>
        </is>
      </c>
      <c r="B19" s="16" t="n">
        <v>0.12</v>
      </c>
    </row>
    <row r="20">
      <c r="A20" s="6" t="inlineStr">
        <is>
          <t>Volume growth of the base lines, year 3</t>
        </is>
      </c>
      <c r="B20" s="16" t="n">
        <v>0.06</v>
      </c>
    </row>
    <row r="21">
      <c r="A21" s="6" t="inlineStr">
        <is>
          <t>Revenue added per journeyman at full productivity ($ per month)</t>
        </is>
      </c>
      <c r="B21" s="8" t="n">
        <v>17000</v>
      </c>
    </row>
    <row r="22">
      <c r="A22" s="6" t="inlineStr">
        <is>
          <t>Material and sub cost on journeyman revenue (% of price)</t>
        </is>
      </c>
      <c r="B22" s="9" t="n">
        <v>0.35</v>
      </c>
    </row>
    <row r="23">
      <c r="A23" s="11" t="inlineStr">
        <is>
          <t>Journeyman ramp: month 1 of hire at 50%, month 2 at 75%, full from month 3</t>
        </is>
      </c>
    </row>
    <row r="25">
      <c r="A25" s="3" t="inlineStr">
        <is>
          <t>Seasonality (multiplies run-rate revenue; year 1 row includes the start-up ramp)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6" t="inlineStr">
        <is>
          <t>Month of year</t>
        </is>
      </c>
      <c r="B26" s="17" t="inlineStr">
        <is>
          <t>Average</t>
        </is>
      </c>
      <c r="C26" s="12" t="n">
        <v>1</v>
      </c>
      <c r="D26" s="12" t="n">
        <v>2</v>
      </c>
      <c r="E26" s="12" t="n">
        <v>3</v>
      </c>
      <c r="F26" s="12" t="n">
        <v>4</v>
      </c>
      <c r="G26" s="12" t="n">
        <v>5</v>
      </c>
      <c r="H26" s="12" t="n">
        <v>6</v>
      </c>
      <c r="I26" s="12" t="n">
        <v>7</v>
      </c>
      <c r="J26" s="12" t="n">
        <v>8</v>
      </c>
      <c r="K26" s="12" t="n">
        <v>9</v>
      </c>
      <c r="L26" s="12" t="n">
        <v>10</v>
      </c>
      <c r="M26" s="12" t="n">
        <v>11</v>
      </c>
      <c r="N26" s="12" t="n">
        <v>12</v>
      </c>
    </row>
    <row r="27">
      <c r="A27" s="6" t="inlineStr">
        <is>
          <t>Year 1 factor (ramp plus seasons)</t>
        </is>
      </c>
      <c r="B27" s="18">
        <f>AVERAGE(C27:N27)</f>
        <v/>
      </c>
      <c r="C27" s="19" t="n">
        <v>0.45</v>
      </c>
      <c r="D27" s="19" t="n">
        <v>0.55</v>
      </c>
      <c r="E27" s="19" t="n">
        <v>0.65</v>
      </c>
      <c r="F27" s="19" t="n">
        <v>0.8</v>
      </c>
      <c r="G27" s="19" t="n">
        <v>0.9</v>
      </c>
      <c r="H27" s="19" t="n">
        <v>1</v>
      </c>
      <c r="I27" s="19" t="n">
        <v>1.1</v>
      </c>
      <c r="J27" s="19" t="n">
        <v>1.1</v>
      </c>
      <c r="K27" s="19" t="n">
        <v>1</v>
      </c>
      <c r="L27" s="19" t="n">
        <v>1.1</v>
      </c>
      <c r="M27" s="19" t="n">
        <v>1</v>
      </c>
      <c r="N27" s="19" t="n">
        <v>0.85</v>
      </c>
    </row>
    <row r="28">
      <c r="A28" s="6" t="inlineStr">
        <is>
          <t>Years 2 and 3 factor (seasons only, averages 1.0)</t>
        </is>
      </c>
      <c r="B28" s="18">
        <f>AVERAGE(C28:N28)</f>
        <v/>
      </c>
      <c r="C28" s="19" t="n">
        <v>0.75</v>
      </c>
      <c r="D28" s="19" t="n">
        <v>0.8</v>
      </c>
      <c r="E28" s="19" t="n">
        <v>0.9</v>
      </c>
      <c r="F28" s="19" t="n">
        <v>1</v>
      </c>
      <c r="G28" s="19" t="n">
        <v>1.1</v>
      </c>
      <c r="H28" s="19" t="n">
        <v>1.15</v>
      </c>
      <c r="I28" s="19" t="n">
        <v>1.15</v>
      </c>
      <c r="J28" s="19" t="n">
        <v>1.1</v>
      </c>
      <c r="K28" s="19" t="n">
        <v>1.05</v>
      </c>
      <c r="L28" s="19" t="n">
        <v>1.1</v>
      </c>
      <c r="M28" s="19" t="n">
        <v>1</v>
      </c>
      <c r="N28" s="19" t="n">
        <v>0.9</v>
      </c>
    </row>
    <row r="29">
      <c r="A29" s="2" t="inlineStr">
        <is>
          <t>Winter trough January and February, peak June to August, rebate-deadline push in October (TCNECA, ServiceTitan seasonality data).</t>
        </is>
      </c>
    </row>
    <row r="31">
      <c r="A31" s="3" t="inlineStr">
        <is>
          <t>Staffing</t>
        </is>
      </c>
      <c r="B31" s="4" t="n"/>
      <c r="C31" s="4" t="n"/>
      <c r="D31" s="4" t="n"/>
      <c r="E31" s="4" t="n"/>
      <c r="F31" s="4" t="n"/>
      <c r="G31" s="4" t="n"/>
      <c r="H31" s="4" t="n"/>
    </row>
    <row r="32" ht="42" customHeight="1">
      <c r="A32" s="5" t="inlineStr">
        <is>
          <t>Role</t>
        </is>
      </c>
      <c r="B32" s="5" t="inlineStr">
        <is>
          <t>Hourly wage ($)</t>
        </is>
      </c>
      <c r="C32" s="5" t="inlineStr">
        <is>
          <t>Start month</t>
        </is>
      </c>
      <c r="D32" s="5" t="inlineStr">
        <is>
          <t>Hours per month</t>
        </is>
      </c>
      <c r="E32" s="5" t="inlineStr">
        <is>
          <t>Burden (payroll tax, workers comp, PTO)</t>
        </is>
      </c>
      <c r="F32" s="5" t="inlineStr">
        <is>
          <t>Annual raise</t>
        </is>
      </c>
    </row>
    <row r="33">
      <c r="A33" s="6" t="inlineStr">
        <is>
          <t>Apprentice (registered, works 1:1 with a licensed electrician)</t>
        </is>
      </c>
      <c r="B33" s="20" t="n">
        <v>24</v>
      </c>
      <c r="C33" s="21" t="n">
        <v>2</v>
      </c>
      <c r="D33" s="19" t="n">
        <v>173.33</v>
      </c>
      <c r="E33" s="9" t="n">
        <v>0.15</v>
      </c>
      <c r="F33" s="9" t="n">
        <v>0.03</v>
      </c>
    </row>
    <row r="34">
      <c r="A34" s="6" t="inlineStr">
        <is>
          <t>Journeyman electrician 1</t>
        </is>
      </c>
      <c r="B34" s="20" t="n">
        <v>40</v>
      </c>
      <c r="C34" s="21" t="n">
        <v>16</v>
      </c>
      <c r="D34" s="19" t="n">
        <v>173.33</v>
      </c>
      <c r="E34" s="9" t="n">
        <v>0.15</v>
      </c>
      <c r="F34" s="9" t="n">
        <v>0.03</v>
      </c>
    </row>
    <row r="35">
      <c r="A35" s="6" t="inlineStr">
        <is>
          <t>Journeyman electrician 2 (second van)</t>
        </is>
      </c>
      <c r="B35" s="20" t="n">
        <v>40</v>
      </c>
      <c r="C35" s="21" t="n">
        <v>28</v>
      </c>
      <c r="D35" s="19" t="n">
        <v>173.33</v>
      </c>
      <c r="E35" s="9" t="n">
        <v>0.15</v>
      </c>
      <c r="F35" s="9" t="n">
        <v>0.03</v>
      </c>
    </row>
    <row r="36">
      <c r="A36" s="2" t="inlineStr">
        <is>
          <t>Boston journeyman median $38.59 per hour (PayScale 2026); MA electrician median wage about $80k (BLS OEWS). Burden: FICA 7.65% + MA workers comp class 5190 about 1.5% + PTO and training.</t>
        </is>
      </c>
    </row>
    <row r="37">
      <c r="A37" s="6" t="inlineStr">
        <is>
          <t>Owner draw per month, months 1 to 3 ($)</t>
        </is>
      </c>
      <c r="B37" s="8" t="n">
        <v>4000</v>
      </c>
    </row>
    <row r="38">
      <c r="A38" s="6" t="inlineStr">
        <is>
          <t>Owner draw per month, months 4 to 6 ($)</t>
        </is>
      </c>
      <c r="B38" s="8" t="n">
        <v>6000</v>
      </c>
    </row>
    <row r="39">
      <c r="A39" s="6" t="inlineStr">
        <is>
          <t>Owner draw per month, months 7 to 12 ($)</t>
        </is>
      </c>
      <c r="B39" s="8" t="n">
        <v>7000</v>
      </c>
    </row>
    <row r="40">
      <c r="A40" s="6" t="inlineStr">
        <is>
          <t>Owner draw per month, year 2 ($)</t>
        </is>
      </c>
      <c r="B40" s="8" t="n">
        <v>7500</v>
      </c>
    </row>
    <row r="41">
      <c r="A41" s="6" t="inlineStr">
        <is>
          <t>Owner draw per month, year 3 ($)</t>
        </is>
      </c>
      <c r="B41" s="8" t="n">
        <v>8333</v>
      </c>
    </row>
    <row r="42">
      <c r="A42" s="6" t="inlineStr">
        <is>
          <t>Office help from month 4 ($ per month, about 10 hours a week)</t>
        </is>
      </c>
      <c r="B42" s="22" t="n">
        <v>500</v>
      </c>
      <c r="C42" s="23" t="n">
        <v>4</v>
      </c>
    </row>
    <row r="44">
      <c r="A44" s="3" t="inlineStr">
        <is>
          <t>Overhead ($ per month unless noted)</t>
        </is>
      </c>
      <c r="B44" s="4" t="n"/>
      <c r="C44" s="4" t="n"/>
      <c r="D44" s="4" t="n"/>
      <c r="E44" s="4" t="n"/>
      <c r="F44" s="4" t="n"/>
      <c r="G44" s="4" t="n"/>
      <c r="H44" s="4" t="n"/>
    </row>
    <row r="45">
      <c r="A45" s="6" t="inlineStr">
        <is>
          <t>Field-service software (Jobber Connect or Housecall Pro Essentials)</t>
        </is>
      </c>
      <c r="B45" s="22" t="n">
        <v>150</v>
      </c>
    </row>
    <row r="46">
      <c r="A46" s="6" t="inlineStr">
        <is>
          <t>Accounting software (QuickBooks Online Essentials)</t>
        </is>
      </c>
      <c r="B46" s="22" t="n">
        <v>80</v>
      </c>
    </row>
    <row r="47">
      <c r="A47" s="6" t="inlineStr">
        <is>
          <t>Google Workspace and business phone (VoIP)</t>
        </is>
      </c>
      <c r="B47" s="22" t="n">
        <v>60</v>
      </c>
    </row>
    <row r="48">
      <c r="A48" s="6" t="inlineStr">
        <is>
          <t>Cell and data, two lines</t>
        </is>
      </c>
      <c r="B48" s="22" t="n">
        <v>110</v>
      </c>
    </row>
    <row r="49">
      <c r="A49" s="6" t="inlineStr">
        <is>
          <t>Bookkeeper</t>
        </is>
      </c>
      <c r="B49" s="22" t="n">
        <v>400</v>
      </c>
    </row>
    <row r="50">
      <c r="A50" s="6" t="inlineStr">
        <is>
          <t>CPA (annual $1,500 spread monthly)</t>
        </is>
      </c>
      <c r="B50" s="22" t="n">
        <v>125</v>
      </c>
    </row>
    <row r="51">
      <c r="A51" s="6" t="inlineStr">
        <is>
          <t>Licenses, continuing education, chamber dues</t>
        </is>
      </c>
      <c r="B51" s="22" t="n">
        <v>60</v>
      </c>
    </row>
    <row r="52">
      <c r="A52" s="6" t="inlineStr">
        <is>
          <t>Tool replacement and small equipment</t>
        </is>
      </c>
      <c r="B52" s="22" t="n">
        <v>200</v>
      </c>
    </row>
    <row r="53">
      <c r="A53" s="6" t="inlineStr">
        <is>
          <t>Uniforms and PPE</t>
        </is>
      </c>
      <c r="B53" s="22" t="n">
        <v>60</v>
      </c>
    </row>
    <row r="54">
      <c r="A54" s="6" t="inlineStr">
        <is>
          <t>Office supplies and misc</t>
        </is>
      </c>
      <c r="B54" s="22" t="n">
        <v>100</v>
      </c>
    </row>
    <row r="55">
      <c r="A55" s="6" t="inlineStr">
        <is>
          <t>Storage unit or yard space</t>
        </is>
      </c>
      <c r="B55" s="22" t="n">
        <v>150</v>
      </c>
    </row>
    <row r="56">
      <c r="A56" s="12" t="inlineStr">
        <is>
          <t>Fixed overhead per month, before vehicles and insurance</t>
        </is>
      </c>
      <c r="B56" s="15">
        <f>SUM(B45:B55)</f>
        <v/>
      </c>
    </row>
    <row r="57">
      <c r="A57" s="6" t="inlineStr">
        <is>
          <t>Overhead inflation per year</t>
        </is>
      </c>
      <c r="B57" s="9" t="n">
        <v>0.03</v>
      </c>
    </row>
    <row r="59">
      <c r="A59" s="3" t="inlineStr">
        <is>
          <t>Vehicles</t>
        </is>
      </c>
      <c r="B59" s="4" t="n"/>
      <c r="C59" s="4" t="n"/>
      <c r="D59" s="4" t="n"/>
      <c r="E59" s="4" t="n"/>
      <c r="F59" s="4" t="n"/>
      <c r="G59" s="4" t="n"/>
      <c r="H59" s="4" t="n"/>
    </row>
    <row r="60">
      <c r="A60" s="6" t="inlineStr">
        <is>
          <t>Van 1 purchase price ($, used 2021 to 2023 Transit or ProMaster)</t>
        </is>
      </c>
      <c r="B60" s="8" t="n">
        <v>36000</v>
      </c>
    </row>
    <row r="61">
      <c r="A61" s="6" t="inlineStr">
        <is>
          <t>Van 1 down payment ($)</t>
        </is>
      </c>
      <c r="B61" s="22" t="n">
        <v>6000</v>
      </c>
    </row>
    <row r="62">
      <c r="A62" s="6" t="inlineStr">
        <is>
          <t>Van loan interest rate (annual)</t>
        </is>
      </c>
      <c r="B62" s="9" t="n">
        <v>0.09</v>
      </c>
    </row>
    <row r="63">
      <c r="A63" s="6" t="inlineStr">
        <is>
          <t>Van loan term (months)</t>
        </is>
      </c>
      <c r="B63" s="23" t="n">
        <v>60</v>
      </c>
    </row>
    <row r="64">
      <c r="A64" s="6" t="inlineStr">
        <is>
          <t>Van loan payment ($ per month)</t>
        </is>
      </c>
      <c r="B64" s="10">
        <f>-PMT(B62/12,B63,B60-B61)</f>
        <v/>
      </c>
    </row>
    <row r="65">
      <c r="A65" s="6" t="inlineStr">
        <is>
          <t>Depreciation per van ($ per month, 5-year straight line)</t>
        </is>
      </c>
      <c r="B65" s="10">
        <f>B60/60</f>
        <v/>
      </c>
    </row>
    <row r="66">
      <c r="A66" s="6" t="inlineStr">
        <is>
          <t>Fuel per van ($ per month)</t>
        </is>
      </c>
      <c r="B66" s="22" t="n">
        <v>450</v>
      </c>
    </row>
    <row r="67">
      <c r="A67" s="6" t="inlineStr">
        <is>
          <t>Maintenance and tires per van ($ per month)</t>
        </is>
      </c>
      <c r="B67" s="22" t="n">
        <v>150</v>
      </c>
    </row>
    <row r="68">
      <c r="A68" s="6" t="inlineStr">
        <is>
          <t>Van 2 purchased in month (same price and terms as van 1)</t>
        </is>
      </c>
      <c r="B68" s="21" t="n">
        <v>28</v>
      </c>
    </row>
    <row r="69">
      <c r="A69" s="2" t="inlineStr">
        <is>
          <t>Used-van pricing from CarGurus and TrueCar averages; financing 5 to 15% APR market (Crestmont Capital).</t>
        </is>
      </c>
    </row>
    <row r="71">
      <c r="A71" s="3" t="inlineStr">
        <is>
          <t>Insurance ($ per year)</t>
        </is>
      </c>
      <c r="B71" s="4" t="n"/>
      <c r="C71" s="4" t="n"/>
      <c r="D71" s="4" t="n"/>
      <c r="E71" s="4" t="n"/>
      <c r="F71" s="4" t="n"/>
      <c r="G71" s="4" t="n"/>
      <c r="H71" s="4" t="n"/>
    </row>
    <row r="72">
      <c r="A72" s="6" t="inlineStr">
        <is>
          <t>General liability, $1M per occurrence / $2M aggregate</t>
        </is>
      </c>
      <c r="B72" s="22" t="n">
        <v>900</v>
      </c>
    </row>
    <row r="73">
      <c r="A73" s="6" t="inlineStr">
        <is>
          <t>Commercial auto, per van</t>
        </is>
      </c>
      <c r="B73" s="22" t="n">
        <v>2000</v>
      </c>
    </row>
    <row r="74">
      <c r="A74" s="6" t="inlineStr">
        <is>
          <t>Workers compensation rate, MA class 5190 (per $1 of payroll)</t>
        </is>
      </c>
      <c r="B74" s="24" t="n">
        <v>0.01475</v>
      </c>
    </row>
    <row r="75">
      <c r="A75" s="6" t="inlineStr">
        <is>
          <t>Tools and equipment (inland marine)</t>
        </is>
      </c>
      <c r="B75" s="22" t="n">
        <v>400</v>
      </c>
    </row>
    <row r="76">
      <c r="A76" s="6" t="inlineStr">
        <is>
          <t>Umbrella, $1M</t>
        </is>
      </c>
      <c r="B76" s="22" t="n">
        <v>1000</v>
      </c>
    </row>
    <row r="77">
      <c r="A77" s="6" t="inlineStr">
        <is>
          <t>Fixed insurance per month, one van</t>
        </is>
      </c>
      <c r="B77" s="10">
        <f>(B72+B73+B75+B76)/12</f>
        <v/>
      </c>
    </row>
    <row r="78">
      <c r="A78" s="2" t="inlineStr">
        <is>
          <t>Insureon medians for electricians: GL $684, auto $1,682, tools $169 to $494 per year. Workers comp is computed from payroll in the Monthly sheet.</t>
        </is>
      </c>
    </row>
    <row r="80">
      <c r="A80" s="3" t="inlineStr">
        <is>
          <t>Marketing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6" t="inlineStr">
        <is>
          <t>Year 1 spend by month ($)</t>
        </is>
      </c>
      <c r="B81" s="10">
        <f>SUM(C81:N81)</f>
        <v/>
      </c>
      <c r="C81" s="8" t="n">
        <v>6000</v>
      </c>
      <c r="D81" s="8" t="n">
        <v>3200</v>
      </c>
      <c r="E81" s="8" t="n">
        <v>2600</v>
      </c>
      <c r="F81" s="8" t="n">
        <v>2300</v>
      </c>
      <c r="G81" s="8" t="n">
        <v>2300</v>
      </c>
      <c r="H81" s="8" t="n">
        <v>2300</v>
      </c>
      <c r="I81" s="8" t="n">
        <v>2100</v>
      </c>
      <c r="J81" s="8" t="n">
        <v>2100</v>
      </c>
      <c r="K81" s="8" t="n">
        <v>2000</v>
      </c>
      <c r="L81" s="8" t="n">
        <v>2000</v>
      </c>
      <c r="M81" s="8" t="n">
        <v>1900</v>
      </c>
      <c r="N81" s="8" t="n">
        <v>1700</v>
      </c>
    </row>
    <row r="82">
      <c r="A82" s="6" t="inlineStr">
        <is>
          <t>Year 2 marketing (% of revenue)</t>
        </is>
      </c>
      <c r="B82" s="16" t="n">
        <v>0.08</v>
      </c>
    </row>
    <row r="83">
      <c r="A83" s="6" t="inlineStr">
        <is>
          <t>Year 3 marketing (% of revenue)</t>
        </is>
      </c>
      <c r="B83" s="16" t="n">
        <v>0.07000000000000001</v>
      </c>
    </row>
    <row r="84">
      <c r="A84" s="2" t="inlineStr">
        <is>
          <t>Month 1 includes the van wrap, citations and launch; Local Services Ads $1,000 to $1,500 a month from month 2 or 3. Home-services benchmark 5 to 12% of revenue.</t>
        </is>
      </c>
    </row>
    <row r="86">
      <c r="A86" s="3" t="inlineStr">
        <is>
          <t>Collections and fees</t>
        </is>
      </c>
      <c r="B86" s="4" t="n"/>
      <c r="C86" s="4" t="n"/>
      <c r="D86" s="4" t="n"/>
      <c r="E86" s="4" t="n"/>
      <c r="F86" s="4" t="n"/>
      <c r="G86" s="4" t="n"/>
      <c r="H86" s="4" t="n"/>
    </row>
    <row r="87">
      <c r="A87" s="6" t="inlineStr">
        <is>
          <t>Card and bank fees (% of revenue)</t>
        </is>
      </c>
      <c r="B87" s="9" t="n">
        <v>0.015</v>
      </c>
    </row>
    <row r="88">
      <c r="A88" s="6" t="inlineStr">
        <is>
          <t>Revenue collected in the month of the job (%)</t>
        </is>
      </c>
      <c r="B88" s="9" t="n">
        <v>0.9</v>
      </c>
    </row>
    <row r="89">
      <c r="A89" s="6" t="inlineStr">
        <is>
          <t>Revenue collected the following month (%)</t>
        </is>
      </c>
      <c r="B89" s="14">
        <f>1-B88</f>
        <v/>
      </c>
    </row>
    <row r="90">
      <c r="A90" s="6" t="inlineStr">
        <is>
          <t>Materials paid in the month of the job (%; supply houses on net-30 shift the rest)</t>
        </is>
      </c>
      <c r="B90" s="9" t="n">
        <v>1</v>
      </c>
    </row>
    <row r="91">
      <c r="A91" s="6" t="inlineStr">
        <is>
          <t>Line of credit available ($, undrawn)</t>
        </is>
      </c>
      <c r="B91" s="22" t="n">
        <v>25000</v>
      </c>
    </row>
    <row r="92">
      <c r="A92" s="2" t="inlineStr">
        <is>
          <t>Residential service and installs are paid at completion by card or bank transfer; deposits on installs are capped at one-third under MA home-improvement law.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60" customWidth="1" min="5" max="5"/>
  </cols>
  <sheetData>
    <row r="1">
      <c r="A1" s="1" t="inlineStr">
        <is>
          <t>Startup costs and sources of funds</t>
        </is>
      </c>
    </row>
    <row r="2">
      <c r="A2" s="2" t="inlineStr">
        <is>
          <t>Low and high are researched 2025 to 2026 price ranges; Plan is the budget used in the model. Edit the Plan column.</t>
        </is>
      </c>
    </row>
    <row r="4">
      <c r="A4" s="25" t="inlineStr">
        <is>
          <t>Item</t>
        </is>
      </c>
      <c r="B4" s="25" t="inlineStr">
        <is>
          <t>Low ($)</t>
        </is>
      </c>
      <c r="C4" s="25" t="inlineStr">
        <is>
          <t>High ($)</t>
        </is>
      </c>
      <c r="D4" s="25" t="inlineStr">
        <is>
          <t>Plan ($)</t>
        </is>
      </c>
      <c r="E4" s="25" t="inlineStr">
        <is>
          <t>Basis</t>
        </is>
      </c>
    </row>
    <row r="5">
      <c r="A5" s="6" t="inlineStr">
        <is>
          <t>Work van, used 2021 to 2023 (financed; see Vehicles)</t>
        </is>
      </c>
      <c r="B5" s="22" t="n">
        <v>34000</v>
      </c>
      <c r="C5" s="22" t="n">
        <v>43000</v>
      </c>
      <c r="D5" s="26">
        <f>Assumptions!$B$60</f>
        <v/>
      </c>
      <c r="E5" s="11" t="inlineStr">
        <is>
          <t>CarGurus and TrueCar used-van averages; financed with the down payment below</t>
        </is>
      </c>
    </row>
    <row r="6">
      <c r="A6" s="6" t="inlineStr">
        <is>
          <t>Van upfit: shelving, partition, ladder rack</t>
        </is>
      </c>
      <c r="B6" s="22" t="n">
        <v>2500</v>
      </c>
      <c r="C6" s="22" t="n">
        <v>6500</v>
      </c>
      <c r="D6" s="8" t="n">
        <v>4000</v>
      </c>
      <c r="E6" s="11" t="inlineStr">
        <is>
          <t>Ranger Design and Adrian Steel packages; DIY builds about $2,500</t>
        </is>
      </c>
    </row>
    <row r="7">
      <c r="A7" s="6" t="inlineStr">
        <is>
          <t>Vehicle wrap or lettering</t>
        </is>
      </c>
      <c r="B7" s="22" t="n">
        <v>1200</v>
      </c>
      <c r="C7" s="22" t="n">
        <v>7500</v>
      </c>
      <c r="D7" s="8" t="n">
        <v>3000</v>
      </c>
      <c r="E7" s="11" t="inlineStr">
        <is>
          <t>Partial wrap $1,200 to $3,500; full wrap to $7,500</t>
        </is>
      </c>
    </row>
    <row r="8">
      <c r="A8" s="6" t="inlineStr">
        <is>
          <t>Hand and power tools (top-up; owner keeps his own)</t>
        </is>
      </c>
      <c r="B8" s="22" t="n">
        <v>1000</v>
      </c>
      <c r="C8" s="22" t="n">
        <v>12000</v>
      </c>
      <c r="D8" s="8" t="n">
        <v>4500</v>
      </c>
      <c r="E8" s="11" t="inlineStr">
        <is>
          <t>Jobber tool list $1,000 to $2,800; pro kits to $12,000</t>
        </is>
      </c>
    </row>
    <row r="9">
      <c r="A9" s="6" t="inlineStr">
        <is>
          <t>Test equipment: multimeter, clamp meter, insulation tester</t>
        </is>
      </c>
      <c r="B9" s="22" t="n">
        <v>1500</v>
      </c>
      <c r="C9" s="22" t="n">
        <v>4000</v>
      </c>
      <c r="D9" s="8" t="n">
        <v>2500</v>
      </c>
      <c r="E9" s="11" t="inlineStr">
        <is>
          <t>Fluke 87V about $500; Fluke 1587 about $1,250; clamp $600 to $1,150</t>
        </is>
      </c>
    </row>
    <row r="10">
      <c r="A10" s="6" t="inlineStr">
        <is>
          <t>Ladders, bender, fish tapes</t>
        </is>
      </c>
      <c r="B10" s="22" t="n">
        <v>520</v>
      </c>
      <c r="C10" s="22" t="n">
        <v>1320</v>
      </c>
      <c r="D10" s="8" t="n">
        <v>900</v>
      </c>
      <c r="E10" s="11" t="inlineStr">
        <is>
          <t>28-ft fiberglass $420 to $920; bender and tapes $100 to $400</t>
        </is>
      </c>
    </row>
    <row r="11">
      <c r="A11" s="6" t="inlineStr">
        <is>
          <t>Initial parts and wire inventory</t>
        </is>
      </c>
      <c r="B11" s="22" t="n">
        <v>4000</v>
      </c>
      <c r="C11" s="22" t="n">
        <v>7000</v>
      </c>
      <c r="D11" s="8" t="n">
        <v>5000</v>
      </c>
      <c r="E11" s="11" t="inlineStr">
        <is>
          <t>Stocked service van carries $5,000 to $7,000</t>
        </is>
      </c>
    </row>
    <row r="12">
      <c r="A12" s="6" t="inlineStr">
        <is>
          <t>Tablet, laptop and phone</t>
        </is>
      </c>
      <c r="B12" s="22" t="n">
        <v>600</v>
      </c>
      <c r="C12" s="22" t="n">
        <v>3500</v>
      </c>
      <c r="D12" s="8" t="n">
        <v>1800</v>
      </c>
      <c r="E12" s="11" t="inlineStr">
        <is>
          <t>iPad plus case, or a rugged tablet</t>
        </is>
      </c>
    </row>
    <row r="13">
      <c r="A13" s="6" t="inlineStr">
        <is>
          <t>Software setup and first two months</t>
        </is>
      </c>
      <c r="B13" s="22" t="n">
        <v>300</v>
      </c>
      <c r="C13" s="22" t="n">
        <v>1200</v>
      </c>
      <c r="D13" s="8" t="n">
        <v>600</v>
      </c>
      <c r="E13" s="11" t="inlineStr">
        <is>
          <t>Jobber or Housecall Pro, QuickBooks, Workspace, VoIP</t>
        </is>
      </c>
    </row>
    <row r="14">
      <c r="A14" s="6" t="inlineStr">
        <is>
          <t>Uniforms and PPE</t>
        </is>
      </c>
      <c r="B14" s="22" t="n">
        <v>300</v>
      </c>
      <c r="C14" s="22" t="n">
        <v>800</v>
      </c>
      <c r="D14" s="8" t="n">
        <v>600</v>
      </c>
      <c r="E14" s="11" t="inlineStr">
        <is>
          <t>Embroidered shirts about $26.50 each</t>
        </is>
      </c>
    </row>
    <row r="15">
      <c r="A15" s="6" t="inlineStr">
        <is>
          <t>Domain, hosting, listings (website already built)</t>
        </is>
      </c>
      <c r="B15" s="22" t="n">
        <v>200</v>
      </c>
      <c r="C15" s="22" t="n">
        <v>1500</v>
      </c>
      <c r="D15" s="8" t="n">
        <v>600</v>
      </c>
      <c r="E15" s="11" t="inlineStr">
        <is>
          <t>Netlify free tier; domain; citation listings</t>
        </is>
      </c>
    </row>
    <row r="16">
      <c r="A16" s="6" t="inlineStr">
        <is>
          <t>Licenses and registrations: LLC, HIC and Guaranty Fund, CSL, DBA</t>
        </is>
      </c>
      <c r="B16" s="22" t="n">
        <v>900</v>
      </c>
      <c r="C16" s="22" t="n">
        <v>1300</v>
      </c>
      <c r="D16" s="8" t="n">
        <v>1100</v>
      </c>
      <c r="E16" s="11" t="inlineStr">
        <is>
          <t>LLC $500; HIC $150 + $100 fund; CSL $150 + exam; DBA $25 to $65</t>
        </is>
      </c>
    </row>
    <row r="17">
      <c r="A17" s="6" t="inlineStr">
        <is>
          <t>Insurance down payments (about 25% of the annual program)</t>
        </is>
      </c>
      <c r="B17" s="22" t="n">
        <v>1000</v>
      </c>
      <c r="C17" s="22" t="n">
        <v>2500</v>
      </c>
      <c r="D17" s="8" t="n">
        <v>1400</v>
      </c>
      <c r="E17" s="11" t="inlineStr">
        <is>
          <t>GL, auto, workers comp, tools, umbrella about $5,500 a year</t>
        </is>
      </c>
    </row>
    <row r="18">
      <c r="A18" s="6" t="inlineStr">
        <is>
          <t>Legal: entity, HIC-compliant contract templates, review of the S&amp;T sale terms</t>
        </is>
      </c>
      <c r="B18" s="22" t="n">
        <v>1500</v>
      </c>
      <c r="C18" s="22" t="n">
        <v>4000</v>
      </c>
      <c r="D18" s="8" t="n">
        <v>2500</v>
      </c>
      <c r="E18" s="11" t="inlineStr">
        <is>
          <t>Attorney at $300 to $450 per hour</t>
        </is>
      </c>
    </row>
    <row r="19">
      <c r="A19" s="6" t="inlineStr">
        <is>
          <t>Accounting setup (chart of accounts, payroll, S-corp election)</t>
        </is>
      </c>
      <c r="B19" s="22" t="n">
        <v>300</v>
      </c>
      <c r="C19" s="22" t="n">
        <v>800</v>
      </c>
      <c r="D19" s="8" t="n">
        <v>500</v>
      </c>
      <c r="E19" s="11" t="inlineStr">
        <is>
          <t>Bookkeeper and CPA onboarding</t>
        </is>
      </c>
    </row>
    <row r="20">
      <c r="A20" s="6" t="inlineStr">
        <is>
          <t>Yard signs, door hangers, business cards</t>
        </is>
      </c>
      <c r="B20" s="22" t="n">
        <v>400</v>
      </c>
      <c r="C20" s="22" t="n">
        <v>1200</v>
      </c>
      <c r="D20" s="8" t="n">
        <v>800</v>
      </c>
      <c r="E20" s="11" t="inlineStr">
        <is>
          <t>Brand package is complete; print only</t>
        </is>
      </c>
    </row>
    <row r="21">
      <c r="A21" s="6" t="inlineStr">
        <is>
          <t>Working capital reserve (covers the slow first months)</t>
        </is>
      </c>
      <c r="B21" s="22" t="n">
        <v>15000</v>
      </c>
      <c r="C21" s="22" t="n">
        <v>40000</v>
      </c>
      <c r="D21" s="8" t="n">
        <v>30000</v>
      </c>
      <c r="E21" s="11" t="inlineStr">
        <is>
          <t>About three months of overhead plus owner draw at the reduced early rate</t>
        </is>
      </c>
    </row>
    <row r="22">
      <c r="A22" s="12" t="inlineStr">
        <is>
          <t>Total startup uses</t>
        </is>
      </c>
      <c r="B22" s="27">
        <f>SUM(B5:B21)</f>
        <v/>
      </c>
      <c r="C22" s="27">
        <f>SUM(C5:C21)</f>
        <v/>
      </c>
      <c r="D22" s="27">
        <f>SUM(D5:D21)</f>
        <v/>
      </c>
    </row>
    <row r="24">
      <c r="A24" s="28" t="inlineStr">
        <is>
          <t>Sources of funds</t>
        </is>
      </c>
      <c r="D24" s="25" t="inlineStr">
        <is>
          <t>Plan ($)</t>
        </is>
      </c>
    </row>
    <row r="25">
      <c r="A25" s="6" t="inlineStr">
        <is>
          <t>Van loan (purchase price less down payment)</t>
        </is>
      </c>
      <c r="D25" s="26">
        <f>Assumptions!$B$60-Assumptions!$B$61</f>
        <v/>
      </c>
    </row>
    <row r="26">
      <c r="A26" s="6" t="inlineStr">
        <is>
          <t>Owner cash injection from the S&amp;T Electrical sale proceeds</t>
        </is>
      </c>
      <c r="D26" s="10">
        <f>D22-D25</f>
        <v/>
      </c>
    </row>
    <row r="27">
      <c r="A27" s="6" t="inlineStr">
        <is>
          <t>Line of credit, arranged but undrawn (seasonal buffer)</t>
        </is>
      </c>
      <c r="D27" s="26">
        <f>Assumptions!$B$91</f>
        <v/>
      </c>
    </row>
    <row r="28">
      <c r="A28" s="12" t="inlineStr">
        <is>
          <t>Total sources used at launch</t>
        </is>
      </c>
      <c r="D28" s="27">
        <f>D25+D26</f>
        <v/>
      </c>
    </row>
    <row r="29">
      <c r="A29" s="6" t="inlineStr">
        <is>
          <t>Owner injection as a share of uses (lenders look for 10 to 20% minimum)</t>
        </is>
      </c>
      <c r="D29" s="14">
        <f>IF(D22=0,0,D26/D22)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50" customWidth="1" min="5" max="5"/>
  </cols>
  <sheetData>
    <row r="1">
      <c r="A1" s="1" t="inlineStr">
        <is>
          <t>Three-year summary</t>
        </is>
      </c>
    </row>
    <row r="2">
      <c r="A2" s="2" t="inlineStr">
        <is>
          <t>Sums of the Monthly sheet by year. Net profit is after a market-rate owner salary (the owner draw).</t>
        </is>
      </c>
    </row>
    <row r="4">
      <c r="A4" s="25" t="inlineStr"/>
      <c r="B4" s="25" t="inlineStr">
        <is>
          <t>Year 1</t>
        </is>
      </c>
      <c r="C4" s="25" t="inlineStr">
        <is>
          <t>Year 2</t>
        </is>
      </c>
      <c r="D4" s="25" t="inlineStr">
        <is>
          <t>Year 3</t>
        </is>
      </c>
      <c r="E4" s="25" t="inlineStr">
        <is>
          <t>Note</t>
        </is>
      </c>
    </row>
    <row r="5">
      <c r="A5" s="12" t="inlineStr">
        <is>
          <t>Revenue</t>
        </is>
      </c>
      <c r="B5" s="29">
        <f>SUMIFS(Monthly!$C$20:$AL$20,Monthly!$C$3:$AL$3,1)</f>
        <v/>
      </c>
      <c r="C5" s="29">
        <f>SUMIFS(Monthly!$C$20:$AL$20,Monthly!$C$3:$AL$3,2)</f>
        <v/>
      </c>
      <c r="D5" s="29">
        <f>SUMIFS(Monthly!$C$20:$AL$20,Monthly!$C$3:$AL$3,3)</f>
        <v/>
      </c>
    </row>
    <row r="6">
      <c r="A6" s="6" t="inlineStr">
        <is>
          <t>Materials, equipment and subcontractors</t>
        </is>
      </c>
      <c r="B6" s="26">
        <f>SUMIFS(Monthly!$C$32:$AL$32,Monthly!$C$3:$AL$3,1)</f>
        <v/>
      </c>
      <c r="C6" s="26">
        <f>SUMIFS(Monthly!$C$32:$AL$32,Monthly!$C$3:$AL$3,2)</f>
        <v/>
      </c>
      <c r="D6" s="26">
        <f>SUMIFS(Monthly!$C$32:$AL$32,Monthly!$C$3:$AL$3,3)</f>
        <v/>
      </c>
    </row>
    <row r="7">
      <c r="A7" s="12" t="inlineStr">
        <is>
          <t>Gross profit after materials</t>
        </is>
      </c>
      <c r="B7" s="29">
        <f>SUMIFS(Monthly!$C$33:$AL$33,Monthly!$C$3:$AL$3,1)</f>
        <v/>
      </c>
      <c r="C7" s="29">
        <f>SUMIFS(Monthly!$C$33:$AL$33,Monthly!$C$3:$AL$3,2)</f>
        <v/>
      </c>
      <c r="D7" s="29">
        <f>SUMIFS(Monthly!$C$33:$AL$33,Monthly!$C$3:$AL$3,3)</f>
        <v/>
      </c>
    </row>
    <row r="8">
      <c r="A8" s="6" t="inlineStr">
        <is>
          <t>Gross margin after materials</t>
        </is>
      </c>
      <c r="B8" s="14">
        <f>IF(B5=0,0,B7/B5)</f>
        <v/>
      </c>
      <c r="C8" s="14">
        <f>IF(C5=0,0,C7/C5)</f>
        <v/>
      </c>
      <c r="D8" s="14">
        <f>IF(D5=0,0,D7/D5)</f>
        <v/>
      </c>
      <c r="E8" s="11" t="inlineStr">
        <is>
          <t>Benchmark 55%+ on residential service, 30 to 50% service-focused shops (Simpro, Lightning Path)</t>
        </is>
      </c>
    </row>
    <row r="9">
      <c r="A9" s="6" t="inlineStr">
        <is>
          <t>Field labor</t>
        </is>
      </c>
      <c r="B9" s="26">
        <f>SUMIFS(Monthly!$C$40:$AL$40,Monthly!$C$3:$AL$3,1)</f>
        <v/>
      </c>
      <c r="C9" s="26">
        <f>SUMIFS(Monthly!$C$40:$AL$40,Monthly!$C$3:$AL$3,2)</f>
        <v/>
      </c>
      <c r="D9" s="26">
        <f>SUMIFS(Monthly!$C$40:$AL$40,Monthly!$C$3:$AL$3,3)</f>
        <v/>
      </c>
    </row>
    <row r="10">
      <c r="A10" s="12" t="inlineStr">
        <is>
          <t>Gross profit after labor</t>
        </is>
      </c>
      <c r="B10" s="29">
        <f>SUMIFS(Monthly!$C$41:$AL$41,Monthly!$C$3:$AL$3,1)</f>
        <v/>
      </c>
      <c r="C10" s="29">
        <f>SUMIFS(Monthly!$C$41:$AL$41,Monthly!$C$3:$AL$3,2)</f>
        <v/>
      </c>
      <c r="D10" s="29">
        <f>SUMIFS(Monthly!$C$41:$AL$41,Monthly!$C$3:$AL$3,3)</f>
        <v/>
      </c>
    </row>
    <row r="11">
      <c r="A11" s="6" t="inlineStr">
        <is>
          <t>Operating expenses (incl. marketing, depreciation, interest)</t>
        </is>
      </c>
      <c r="B11" s="26">
        <f>SUMIFS(Monthly!$C$54:$AL$54,Monthly!$C$3:$AL$3,1)</f>
        <v/>
      </c>
      <c r="C11" s="26">
        <f>SUMIFS(Monthly!$C$54:$AL$54,Monthly!$C$3:$AL$3,2)</f>
        <v/>
      </c>
      <c r="D11" s="26">
        <f>SUMIFS(Monthly!$C$54:$AL$54,Monthly!$C$3:$AL$3,3)</f>
        <v/>
      </c>
    </row>
    <row r="12">
      <c r="A12" s="6" t="inlineStr">
        <is>
          <t>of which marketing</t>
        </is>
      </c>
      <c r="B12" s="26">
        <f>SUMIFS(Monthly!$C$50:$AL$50,Monthly!$C$3:$AL$3,1)</f>
        <v/>
      </c>
      <c r="C12" s="26">
        <f>SUMIFS(Monthly!$C$50:$AL$50,Monthly!$C$3:$AL$3,2)</f>
        <v/>
      </c>
      <c r="D12" s="26">
        <f>SUMIFS(Monthly!$C$50:$AL$50,Monthly!$C$3:$AL$3,3)</f>
        <v/>
      </c>
      <c r="E12" s="11" t="inlineStr">
        <is>
          <t>Year 1 about 9 to 11% of revenue, then 8% and 7%</t>
        </is>
      </c>
    </row>
    <row r="13">
      <c r="A13" s="12" t="inlineStr">
        <is>
          <t>Operating profit before owner compensation</t>
        </is>
      </c>
      <c r="B13" s="29">
        <f>SUMIFS(Monthly!$C$55:$AL$55,Monthly!$C$3:$AL$3,1)</f>
        <v/>
      </c>
      <c r="C13" s="29">
        <f>SUMIFS(Monthly!$C$55:$AL$55,Monthly!$C$3:$AL$3,2)</f>
        <v/>
      </c>
      <c r="D13" s="29">
        <f>SUMIFS(Monthly!$C$55:$AL$55,Monthly!$C$3:$AL$3,3)</f>
        <v/>
      </c>
    </row>
    <row r="14">
      <c r="A14" s="6" t="inlineStr">
        <is>
          <t>Owner draw (salary)</t>
        </is>
      </c>
      <c r="B14" s="26">
        <f>SUMIFS(Monthly!$C$56:$AL$56,Monthly!$C$3:$AL$3,1)</f>
        <v/>
      </c>
      <c r="C14" s="26">
        <f>SUMIFS(Monthly!$C$56:$AL$56,Monthly!$C$3:$AL$3,2)</f>
        <v/>
      </c>
      <c r="D14" s="26">
        <f>SUMIFS(Monthly!$C$56:$AL$56,Monthly!$C$3:$AL$3,3)</f>
        <v/>
      </c>
    </row>
    <row r="15">
      <c r="A15" s="12" t="inlineStr">
        <is>
          <t>Net profit before tax</t>
        </is>
      </c>
      <c r="B15" s="29">
        <f>SUMIFS(Monthly!$C$57:$AL$57,Monthly!$C$3:$AL$3,1)</f>
        <v/>
      </c>
      <c r="C15" s="29">
        <f>SUMIFS(Monthly!$C$57:$AL$57,Monthly!$C$3:$AL$3,2)</f>
        <v/>
      </c>
      <c r="D15" s="29">
        <f>SUMIFS(Monthly!$C$57:$AL$57,Monthly!$C$3:$AL$3,3)</f>
        <v/>
      </c>
      <c r="E15" s="11" t="inlineStr">
        <is>
          <t>After the owner's salary. Industry median net 5 to 6%, top quartile 10 to 12% (NECA via Simpro)</t>
        </is>
      </c>
    </row>
    <row r="16">
      <c r="A16" s="6" t="inlineStr">
        <is>
          <t>Net margin</t>
        </is>
      </c>
      <c r="B16" s="14">
        <f>IF(B5=0,0,B15/B5)</f>
        <v/>
      </c>
      <c r="C16" s="14">
        <f>IF(C5=0,0,C15/C5)</f>
        <v/>
      </c>
      <c r="D16" s="14">
        <f>IF(D5=0,0,D15/D5)</f>
        <v/>
      </c>
    </row>
    <row r="17">
      <c r="A17" s="12" t="inlineStr">
        <is>
          <t>Owner's total take (draw plus net profit)</t>
        </is>
      </c>
      <c r="B17" s="15">
        <f>B14+B15</f>
        <v/>
      </c>
      <c r="C17" s="15">
        <f>C14+C15</f>
        <v/>
      </c>
      <c r="D17" s="15">
        <f>D14+D15</f>
        <v/>
      </c>
    </row>
    <row r="19">
      <c r="A19" s="28" t="inlineStr">
        <is>
          <t>Operations</t>
        </is>
      </c>
    </row>
    <row r="20">
      <c r="A20" s="6" t="inlineStr">
        <is>
          <t>Jobs completed (base lines)</t>
        </is>
      </c>
      <c r="B20" s="30">
        <f>SUMIFS(Monthly!$C$21:$AL$21,Monthly!$C$3:$AL$3,1)</f>
        <v/>
      </c>
      <c r="C20" s="30">
        <f>SUMIFS(Monthly!$C$21:$AL$21,Monthly!$C$3:$AL$3,2)</f>
        <v/>
      </c>
      <c r="D20" s="30">
        <f>SUMIFS(Monthly!$C$21:$AL$21,Monthly!$C$3:$AL$3,3)</f>
        <v/>
      </c>
    </row>
    <row r="21">
      <c r="A21" s="6" t="inlineStr">
        <is>
          <t>Average revenue per base job</t>
        </is>
      </c>
      <c r="B21" s="10">
        <f>IF(B20=0,0,(B5-B24)/B20)</f>
        <v/>
      </c>
      <c r="C21" s="10">
        <f>IF(C20=0,0,(C5-C24)/C20)</f>
        <v/>
      </c>
      <c r="D21" s="10">
        <f>IF(D20=0,0,(D5-D24)/D20)</f>
        <v/>
      </c>
    </row>
    <row r="22">
      <c r="A22" s="6" t="inlineStr">
        <is>
          <t>Vans in service at year end</t>
        </is>
      </c>
      <c r="B22" s="30">
        <f>INDEX(Monthly!$C$46:$AL$46,1,12)</f>
        <v/>
      </c>
      <c r="C22" s="30">
        <f>INDEX(Monthly!$C$46:$AL$46,1,24)</f>
        <v/>
      </c>
      <c r="D22" s="30">
        <f>INDEX(Monthly!$C$46:$AL$46,1,36)</f>
        <v/>
      </c>
    </row>
    <row r="23">
      <c r="A23" s="6" t="inlineStr">
        <is>
          <t>Field people incl. owner at year end</t>
        </is>
      </c>
      <c r="B23" s="31">
        <f>1+IF(12*1&gt;=Assumptions!$C$33,1,0)+IF(12*1&gt;=Assumptions!$C$34,1,0)+IF(12*1&gt;=Assumptions!$C$35,1,0)</f>
        <v/>
      </c>
      <c r="C23" s="31">
        <f>1+IF(12*2&gt;=Assumptions!$C$33,1,0)+IF(12*2&gt;=Assumptions!$C$34,1,0)+IF(12*2&gt;=Assumptions!$C$35,1,0)</f>
        <v/>
      </c>
      <c r="D23" s="31">
        <f>1+IF(12*3&gt;=Assumptions!$C$33,1,0)+IF(12*3&gt;=Assumptions!$C$34,1,0)+IF(12*3&gt;=Assumptions!$C$35,1,0)</f>
        <v/>
      </c>
    </row>
    <row r="24">
      <c r="A24" s="6" t="inlineStr">
        <is>
          <t>Revenue added by journeymen</t>
        </is>
      </c>
      <c r="B24" s="10">
        <f>SUMIFS(Monthly!$C$18:$AL$18,Monthly!$C$3:$AL$3,1)+SUMIFS(Monthly!$C$19:$AL$19,Monthly!$C$3:$AL$3,1)</f>
        <v/>
      </c>
      <c r="C24" s="10">
        <f>SUMIFS(Monthly!$C$18:$AL$18,Monthly!$C$3:$AL$3,2)+SUMIFS(Monthly!$C$19:$AL$19,Monthly!$C$3:$AL$3,2)</f>
        <v/>
      </c>
      <c r="D24" s="10">
        <f>SUMIFS(Monthly!$C$18:$AL$18,Monthly!$C$3:$AL$3,3)+SUMIFS(Monthly!$C$19:$AL$19,Monthly!$C$3:$AL$3,3)</f>
        <v/>
      </c>
    </row>
    <row r="25">
      <c r="A25" s="6" t="inlineStr">
        <is>
          <t>Revenue per field person</t>
        </is>
      </c>
      <c r="B25" s="10">
        <f>IF(B23=0,0,B5/B23)</f>
        <v/>
      </c>
      <c r="C25" s="10">
        <f>IF(C23=0,0,C5/C23)</f>
        <v/>
      </c>
      <c r="D25" s="10">
        <f>IF(D23=0,0,D5/D23)</f>
        <v/>
      </c>
      <c r="E25" s="11" t="inlineStr">
        <is>
          <t>Benchmark $207k to $400k per technician; the owner spends about half his time off the tools</t>
        </is>
      </c>
    </row>
    <row r="27">
      <c r="A27" s="28" t="inlineStr">
        <is>
          <t>Cash and debt</t>
        </is>
      </c>
    </row>
    <row r="28">
      <c r="A28" s="6" t="inlineStr">
        <is>
          <t>Lowest month-end cash in the year</t>
        </is>
      </c>
      <c r="B28" s="26">
        <f>MIN(INDEX(Monthly!$C$70:$AL$70,1,1):INDEX(Monthly!$C$70:$AL$70,1,12))</f>
        <v/>
      </c>
      <c r="C28" s="26">
        <f>MIN(INDEX(Monthly!$C$70:$AL$70,1,13):INDEX(Monthly!$C$70:$AL$70,1,24))</f>
        <v/>
      </c>
      <c r="D28" s="26">
        <f>MIN(INDEX(Monthly!$C$70:$AL$70,1,25):INDEX(Monthly!$C$70:$AL$70,1,36))</f>
        <v/>
      </c>
      <c r="E28" s="11" t="inlineStr">
        <is>
          <t>Must stay above zero without drawing the line of credit</t>
        </is>
      </c>
    </row>
    <row r="29">
      <c r="A29" s="6" t="inlineStr">
        <is>
          <t>Cash at year end</t>
        </is>
      </c>
      <c r="B29" s="26">
        <f>INDEX(Monthly!$C$70:$AL$70,1,12)</f>
        <v/>
      </c>
      <c r="C29" s="26">
        <f>INDEX(Monthly!$C$70:$AL$70,1,24)</f>
        <v/>
      </c>
      <c r="D29" s="26">
        <f>INDEX(Monthly!$C$70:$AL$70,1,36)</f>
        <v/>
      </c>
    </row>
    <row r="30">
      <c r="A30" s="6" t="inlineStr">
        <is>
          <t>Annual debt service (van loans)</t>
        </is>
      </c>
      <c r="B30" s="26">
        <f>SUMIFS(Monthly!$C$65:$AL$65,Monthly!$C$3:$AL$3,1)</f>
        <v/>
      </c>
      <c r="C30" s="26">
        <f>SUMIFS(Monthly!$C$65:$AL$65,Monthly!$C$3:$AL$3,2)</f>
        <v/>
      </c>
      <c r="D30" s="26">
        <f>SUMIFS(Monthly!$C$65:$AL$65,Monthly!$C$3:$AL$3,3)</f>
        <v/>
      </c>
    </row>
    <row r="31">
      <c r="A31" s="6" t="inlineStr">
        <is>
          <t>Debt service coverage (net profit + interest + depreciation) / debt service</t>
        </is>
      </c>
      <c r="B31" s="32">
        <f>IF(B30=0,0,(B15+SUMIFS(Monthly!$C$53:$AL$53,Monthly!$C$3:$AL$3,1)+SUMIFS(Monthly!$C$52:$AL$52,Monthly!$C$3:$AL$3,1))/B30)</f>
        <v/>
      </c>
      <c r="C31" s="32">
        <f>IF(C30=0,0,(C15+SUMIFS(Monthly!$C$53:$AL$53,Monthly!$C$3:$AL$3,2)+SUMIFS(Monthly!$C$52:$AL$52,Monthly!$C$3:$AL$3,2))/C30)</f>
        <v/>
      </c>
      <c r="D31" s="32">
        <f>IF(D30=0,0,(D15+SUMIFS(Monthly!$C$53:$AL$53,Monthly!$C$3:$AL$3,3)+SUMIFS(Monthly!$C$52:$AL$52,Monthly!$C$3:$AL$3,3))/D30)</f>
        <v/>
      </c>
      <c r="E31" s="11" t="inlineStr">
        <is>
          <t>Lenders look for 1.25x or better</t>
        </is>
      </c>
    </row>
    <row r="33">
      <c r="A33" s="28" t="inlineStr">
        <is>
          <t>Break-even</t>
        </is>
      </c>
    </row>
    <row r="34">
      <c r="A34" s="6" t="inlineStr">
        <is>
          <t>Fixed costs (labor, operating expenses, owner draw)</t>
        </is>
      </c>
      <c r="B34" s="10">
        <f>B9+B11+B14</f>
        <v/>
      </c>
      <c r="C34" s="10">
        <f>C9+C11+C14</f>
        <v/>
      </c>
      <c r="D34" s="10">
        <f>D9+D11+D14</f>
        <v/>
      </c>
    </row>
    <row r="35">
      <c r="A35" s="12" t="inlineStr">
        <is>
          <t>Break-even revenue at the year's gross margin</t>
        </is>
      </c>
      <c r="B35" s="15">
        <f>IF(B8=0,0,B34/B8)</f>
        <v/>
      </c>
      <c r="C35" s="15">
        <f>IF(C8=0,0,C34/C8)</f>
        <v/>
      </c>
      <c r="D35" s="15">
        <f>IF(D8=0,0,D34/D8)</f>
        <v/>
      </c>
      <c r="E35" s="11" t="inlineStr">
        <is>
          <t>Revenue needed to cover all costs including the owner's salary</t>
        </is>
      </c>
    </row>
    <row r="36">
      <c r="A36" s="6" t="inlineStr">
        <is>
          <t>Revenue above (below) break-even</t>
        </is>
      </c>
      <c r="B36" s="10">
        <f>B5-B35</f>
        <v/>
      </c>
      <c r="C36" s="10">
        <f>C5-C35</f>
        <v/>
      </c>
      <c r="D36" s="10">
        <f>D5-D35</f>
        <v/>
      </c>
    </row>
    <row r="37">
      <c r="A37" s="6" t="inlineStr">
        <is>
          <t>Break-even revenue per month</t>
        </is>
      </c>
      <c r="B37" s="10">
        <f>B35/12</f>
        <v/>
      </c>
      <c r="C37" s="10">
        <f>C35/12</f>
        <v/>
      </c>
      <c r="D37" s="10">
        <f>D35/12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70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0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>
      <c r="A1" s="1" t="inlineStr">
        <is>
          <t>Monthly projection, months 1 to 36 (P&amp;L and cash flow)</t>
        </is>
      </c>
    </row>
    <row r="2">
      <c r="A2" s="2" t="inlineStr">
        <is>
          <t>All cells are formulas driven by the Assumptions sheet. Month 1 is the first month of operations.</t>
        </is>
      </c>
    </row>
    <row r="3">
      <c r="A3" s="12" t="inlineStr">
        <is>
          <t>Year</t>
        </is>
      </c>
      <c r="C3" s="33">
        <f>IF(C4&lt;=12,1,IF(C4&lt;=24,2,3))</f>
        <v/>
      </c>
      <c r="D3" s="33">
        <f>IF(D4&lt;=12,1,IF(D4&lt;=24,2,3))</f>
        <v/>
      </c>
      <c r="E3" s="33">
        <f>IF(E4&lt;=12,1,IF(E4&lt;=24,2,3))</f>
        <v/>
      </c>
      <c r="F3" s="33">
        <f>IF(F4&lt;=12,1,IF(F4&lt;=24,2,3))</f>
        <v/>
      </c>
      <c r="G3" s="33">
        <f>IF(G4&lt;=12,1,IF(G4&lt;=24,2,3))</f>
        <v/>
      </c>
      <c r="H3" s="33">
        <f>IF(H4&lt;=12,1,IF(H4&lt;=24,2,3))</f>
        <v/>
      </c>
      <c r="I3" s="33">
        <f>IF(I4&lt;=12,1,IF(I4&lt;=24,2,3))</f>
        <v/>
      </c>
      <c r="J3" s="33">
        <f>IF(J4&lt;=12,1,IF(J4&lt;=24,2,3))</f>
        <v/>
      </c>
      <c r="K3" s="33">
        <f>IF(K4&lt;=12,1,IF(K4&lt;=24,2,3))</f>
        <v/>
      </c>
      <c r="L3" s="33">
        <f>IF(L4&lt;=12,1,IF(L4&lt;=24,2,3))</f>
        <v/>
      </c>
      <c r="M3" s="33">
        <f>IF(M4&lt;=12,1,IF(M4&lt;=24,2,3))</f>
        <v/>
      </c>
      <c r="N3" s="33">
        <f>IF(N4&lt;=12,1,IF(N4&lt;=24,2,3))</f>
        <v/>
      </c>
      <c r="O3" s="33">
        <f>IF(O4&lt;=12,1,IF(O4&lt;=24,2,3))</f>
        <v/>
      </c>
      <c r="P3" s="33">
        <f>IF(P4&lt;=12,1,IF(P4&lt;=24,2,3))</f>
        <v/>
      </c>
      <c r="Q3" s="33">
        <f>IF(Q4&lt;=12,1,IF(Q4&lt;=24,2,3))</f>
        <v/>
      </c>
      <c r="R3" s="33">
        <f>IF(R4&lt;=12,1,IF(R4&lt;=24,2,3))</f>
        <v/>
      </c>
      <c r="S3" s="33">
        <f>IF(S4&lt;=12,1,IF(S4&lt;=24,2,3))</f>
        <v/>
      </c>
      <c r="T3" s="33">
        <f>IF(T4&lt;=12,1,IF(T4&lt;=24,2,3))</f>
        <v/>
      </c>
      <c r="U3" s="33">
        <f>IF(U4&lt;=12,1,IF(U4&lt;=24,2,3))</f>
        <v/>
      </c>
      <c r="V3" s="33">
        <f>IF(V4&lt;=12,1,IF(V4&lt;=24,2,3))</f>
        <v/>
      </c>
      <c r="W3" s="33">
        <f>IF(W4&lt;=12,1,IF(W4&lt;=24,2,3))</f>
        <v/>
      </c>
      <c r="X3" s="33">
        <f>IF(X4&lt;=12,1,IF(X4&lt;=24,2,3))</f>
        <v/>
      </c>
      <c r="Y3" s="33">
        <f>IF(Y4&lt;=12,1,IF(Y4&lt;=24,2,3))</f>
        <v/>
      </c>
      <c r="Z3" s="33">
        <f>IF(Z4&lt;=12,1,IF(Z4&lt;=24,2,3))</f>
        <v/>
      </c>
      <c r="AA3" s="33">
        <f>IF(AA4&lt;=12,1,IF(AA4&lt;=24,2,3))</f>
        <v/>
      </c>
      <c r="AB3" s="33">
        <f>IF(AB4&lt;=12,1,IF(AB4&lt;=24,2,3))</f>
        <v/>
      </c>
      <c r="AC3" s="33">
        <f>IF(AC4&lt;=12,1,IF(AC4&lt;=24,2,3))</f>
        <v/>
      </c>
      <c r="AD3" s="33">
        <f>IF(AD4&lt;=12,1,IF(AD4&lt;=24,2,3))</f>
        <v/>
      </c>
      <c r="AE3" s="33">
        <f>IF(AE4&lt;=12,1,IF(AE4&lt;=24,2,3))</f>
        <v/>
      </c>
      <c r="AF3" s="33">
        <f>IF(AF4&lt;=12,1,IF(AF4&lt;=24,2,3))</f>
        <v/>
      </c>
      <c r="AG3" s="33">
        <f>IF(AG4&lt;=12,1,IF(AG4&lt;=24,2,3))</f>
        <v/>
      </c>
      <c r="AH3" s="33">
        <f>IF(AH4&lt;=12,1,IF(AH4&lt;=24,2,3))</f>
        <v/>
      </c>
      <c r="AI3" s="33">
        <f>IF(AI4&lt;=12,1,IF(AI4&lt;=24,2,3))</f>
        <v/>
      </c>
      <c r="AJ3" s="33">
        <f>IF(AJ4&lt;=12,1,IF(AJ4&lt;=24,2,3))</f>
        <v/>
      </c>
      <c r="AK3" s="33">
        <f>IF(AK4&lt;=12,1,IF(AK4&lt;=24,2,3))</f>
        <v/>
      </c>
      <c r="AL3" s="33">
        <f>IF(AL4&lt;=12,1,IF(AL4&lt;=24,2,3))</f>
        <v/>
      </c>
    </row>
    <row r="4">
      <c r="A4" s="12" t="inlineStr">
        <is>
          <t>Month</t>
        </is>
      </c>
      <c r="C4" s="28" t="n">
        <v>1</v>
      </c>
      <c r="D4" s="28" t="n">
        <v>2</v>
      </c>
      <c r="E4" s="28" t="n">
        <v>3</v>
      </c>
      <c r="F4" s="28" t="n">
        <v>4</v>
      </c>
      <c r="G4" s="28" t="n">
        <v>5</v>
      </c>
      <c r="H4" s="28" t="n">
        <v>6</v>
      </c>
      <c r="I4" s="28" t="n">
        <v>7</v>
      </c>
      <c r="J4" s="28" t="n">
        <v>8</v>
      </c>
      <c r="K4" s="28" t="n">
        <v>9</v>
      </c>
      <c r="L4" s="28" t="n">
        <v>10</v>
      </c>
      <c r="M4" s="28" t="n">
        <v>11</v>
      </c>
      <c r="N4" s="28" t="n">
        <v>12</v>
      </c>
      <c r="O4" s="28" t="n">
        <v>13</v>
      </c>
      <c r="P4" s="28" t="n">
        <v>14</v>
      </c>
      <c r="Q4" s="28" t="n">
        <v>15</v>
      </c>
      <c r="R4" s="28" t="n">
        <v>16</v>
      </c>
      <c r="S4" s="28" t="n">
        <v>17</v>
      </c>
      <c r="T4" s="28" t="n">
        <v>18</v>
      </c>
      <c r="U4" s="28" t="n">
        <v>19</v>
      </c>
      <c r="V4" s="28" t="n">
        <v>20</v>
      </c>
      <c r="W4" s="28" t="n">
        <v>21</v>
      </c>
      <c r="X4" s="28" t="n">
        <v>22</v>
      </c>
      <c r="Y4" s="28" t="n">
        <v>23</v>
      </c>
      <c r="Z4" s="28" t="n">
        <v>24</v>
      </c>
      <c r="AA4" s="28" t="n">
        <v>25</v>
      </c>
      <c r="AB4" s="28" t="n">
        <v>26</v>
      </c>
      <c r="AC4" s="28" t="n">
        <v>27</v>
      </c>
      <c r="AD4" s="28" t="n">
        <v>28</v>
      </c>
      <c r="AE4" s="28" t="n">
        <v>29</v>
      </c>
      <c r="AF4" s="28" t="n">
        <v>30</v>
      </c>
      <c r="AG4" s="28" t="n">
        <v>31</v>
      </c>
      <c r="AH4" s="28" t="n">
        <v>32</v>
      </c>
      <c r="AI4" s="28" t="n">
        <v>33</v>
      </c>
      <c r="AJ4" s="28" t="n">
        <v>34</v>
      </c>
      <c r="AK4" s="28" t="n">
        <v>35</v>
      </c>
      <c r="AL4" s="28" t="n">
        <v>36</v>
      </c>
    </row>
    <row r="5">
      <c r="A5" s="12" t="inlineStr">
        <is>
          <t>Factors</t>
        </is>
      </c>
    </row>
    <row r="6">
      <c r="A6" s="6" t="inlineStr">
        <is>
          <t>Seasonal factor</t>
        </is>
      </c>
      <c r="B6" s="11" t="inlineStr">
        <is>
          <t>x</t>
        </is>
      </c>
      <c r="C6" s="34">
        <f>IF(C$3=1,INDEX(Assumptions!$C$27:$N$27,1,MOD(C$4-1,12)+1),INDEX(Assumptions!$C$28:$N$28,1,MOD(C$4-1,12)+1))</f>
        <v/>
      </c>
      <c r="D6" s="34">
        <f>IF(D$3=1,INDEX(Assumptions!$C$27:$N$27,1,MOD(D$4-1,12)+1),INDEX(Assumptions!$C$28:$N$28,1,MOD(D$4-1,12)+1))</f>
        <v/>
      </c>
      <c r="E6" s="34">
        <f>IF(E$3=1,INDEX(Assumptions!$C$27:$N$27,1,MOD(E$4-1,12)+1),INDEX(Assumptions!$C$28:$N$28,1,MOD(E$4-1,12)+1))</f>
        <v/>
      </c>
      <c r="F6" s="34">
        <f>IF(F$3=1,INDEX(Assumptions!$C$27:$N$27,1,MOD(F$4-1,12)+1),INDEX(Assumptions!$C$28:$N$28,1,MOD(F$4-1,12)+1))</f>
        <v/>
      </c>
      <c r="G6" s="34">
        <f>IF(G$3=1,INDEX(Assumptions!$C$27:$N$27,1,MOD(G$4-1,12)+1),INDEX(Assumptions!$C$28:$N$28,1,MOD(G$4-1,12)+1))</f>
        <v/>
      </c>
      <c r="H6" s="34">
        <f>IF(H$3=1,INDEX(Assumptions!$C$27:$N$27,1,MOD(H$4-1,12)+1),INDEX(Assumptions!$C$28:$N$28,1,MOD(H$4-1,12)+1))</f>
        <v/>
      </c>
      <c r="I6" s="34">
        <f>IF(I$3=1,INDEX(Assumptions!$C$27:$N$27,1,MOD(I$4-1,12)+1),INDEX(Assumptions!$C$28:$N$28,1,MOD(I$4-1,12)+1))</f>
        <v/>
      </c>
      <c r="J6" s="34">
        <f>IF(J$3=1,INDEX(Assumptions!$C$27:$N$27,1,MOD(J$4-1,12)+1),INDEX(Assumptions!$C$28:$N$28,1,MOD(J$4-1,12)+1))</f>
        <v/>
      </c>
      <c r="K6" s="34">
        <f>IF(K$3=1,INDEX(Assumptions!$C$27:$N$27,1,MOD(K$4-1,12)+1),INDEX(Assumptions!$C$28:$N$28,1,MOD(K$4-1,12)+1))</f>
        <v/>
      </c>
      <c r="L6" s="34">
        <f>IF(L$3=1,INDEX(Assumptions!$C$27:$N$27,1,MOD(L$4-1,12)+1),INDEX(Assumptions!$C$28:$N$28,1,MOD(L$4-1,12)+1))</f>
        <v/>
      </c>
      <c r="M6" s="34">
        <f>IF(M$3=1,INDEX(Assumptions!$C$27:$N$27,1,MOD(M$4-1,12)+1),INDEX(Assumptions!$C$28:$N$28,1,MOD(M$4-1,12)+1))</f>
        <v/>
      </c>
      <c r="N6" s="34">
        <f>IF(N$3=1,INDEX(Assumptions!$C$27:$N$27,1,MOD(N$4-1,12)+1),INDEX(Assumptions!$C$28:$N$28,1,MOD(N$4-1,12)+1))</f>
        <v/>
      </c>
      <c r="O6" s="34">
        <f>IF(O$3=1,INDEX(Assumptions!$C$27:$N$27,1,MOD(O$4-1,12)+1),INDEX(Assumptions!$C$28:$N$28,1,MOD(O$4-1,12)+1))</f>
        <v/>
      </c>
      <c r="P6" s="34">
        <f>IF(P$3=1,INDEX(Assumptions!$C$27:$N$27,1,MOD(P$4-1,12)+1),INDEX(Assumptions!$C$28:$N$28,1,MOD(P$4-1,12)+1))</f>
        <v/>
      </c>
      <c r="Q6" s="34">
        <f>IF(Q$3=1,INDEX(Assumptions!$C$27:$N$27,1,MOD(Q$4-1,12)+1),INDEX(Assumptions!$C$28:$N$28,1,MOD(Q$4-1,12)+1))</f>
        <v/>
      </c>
      <c r="R6" s="34">
        <f>IF(R$3=1,INDEX(Assumptions!$C$27:$N$27,1,MOD(R$4-1,12)+1),INDEX(Assumptions!$C$28:$N$28,1,MOD(R$4-1,12)+1))</f>
        <v/>
      </c>
      <c r="S6" s="34">
        <f>IF(S$3=1,INDEX(Assumptions!$C$27:$N$27,1,MOD(S$4-1,12)+1),INDEX(Assumptions!$C$28:$N$28,1,MOD(S$4-1,12)+1))</f>
        <v/>
      </c>
      <c r="T6" s="34">
        <f>IF(T$3=1,INDEX(Assumptions!$C$27:$N$27,1,MOD(T$4-1,12)+1),INDEX(Assumptions!$C$28:$N$28,1,MOD(T$4-1,12)+1))</f>
        <v/>
      </c>
      <c r="U6" s="34">
        <f>IF(U$3=1,INDEX(Assumptions!$C$27:$N$27,1,MOD(U$4-1,12)+1),INDEX(Assumptions!$C$28:$N$28,1,MOD(U$4-1,12)+1))</f>
        <v/>
      </c>
      <c r="V6" s="34">
        <f>IF(V$3=1,INDEX(Assumptions!$C$27:$N$27,1,MOD(V$4-1,12)+1),INDEX(Assumptions!$C$28:$N$28,1,MOD(V$4-1,12)+1))</f>
        <v/>
      </c>
      <c r="W6" s="34">
        <f>IF(W$3=1,INDEX(Assumptions!$C$27:$N$27,1,MOD(W$4-1,12)+1),INDEX(Assumptions!$C$28:$N$28,1,MOD(W$4-1,12)+1))</f>
        <v/>
      </c>
      <c r="X6" s="34">
        <f>IF(X$3=1,INDEX(Assumptions!$C$27:$N$27,1,MOD(X$4-1,12)+1),INDEX(Assumptions!$C$28:$N$28,1,MOD(X$4-1,12)+1))</f>
        <v/>
      </c>
      <c r="Y6" s="34">
        <f>IF(Y$3=1,INDEX(Assumptions!$C$27:$N$27,1,MOD(Y$4-1,12)+1),INDEX(Assumptions!$C$28:$N$28,1,MOD(Y$4-1,12)+1))</f>
        <v/>
      </c>
      <c r="Z6" s="34">
        <f>IF(Z$3=1,INDEX(Assumptions!$C$27:$N$27,1,MOD(Z$4-1,12)+1),INDEX(Assumptions!$C$28:$N$28,1,MOD(Z$4-1,12)+1))</f>
        <v/>
      </c>
      <c r="AA6" s="34">
        <f>IF(AA$3=1,INDEX(Assumptions!$C$27:$N$27,1,MOD(AA$4-1,12)+1),INDEX(Assumptions!$C$28:$N$28,1,MOD(AA$4-1,12)+1))</f>
        <v/>
      </c>
      <c r="AB6" s="34">
        <f>IF(AB$3=1,INDEX(Assumptions!$C$27:$N$27,1,MOD(AB$4-1,12)+1),INDEX(Assumptions!$C$28:$N$28,1,MOD(AB$4-1,12)+1))</f>
        <v/>
      </c>
      <c r="AC6" s="34">
        <f>IF(AC$3=1,INDEX(Assumptions!$C$27:$N$27,1,MOD(AC$4-1,12)+1),INDEX(Assumptions!$C$28:$N$28,1,MOD(AC$4-1,12)+1))</f>
        <v/>
      </c>
      <c r="AD6" s="34">
        <f>IF(AD$3=1,INDEX(Assumptions!$C$27:$N$27,1,MOD(AD$4-1,12)+1),INDEX(Assumptions!$C$28:$N$28,1,MOD(AD$4-1,12)+1))</f>
        <v/>
      </c>
      <c r="AE6" s="34">
        <f>IF(AE$3=1,INDEX(Assumptions!$C$27:$N$27,1,MOD(AE$4-1,12)+1),INDEX(Assumptions!$C$28:$N$28,1,MOD(AE$4-1,12)+1))</f>
        <v/>
      </c>
      <c r="AF6" s="34">
        <f>IF(AF$3=1,INDEX(Assumptions!$C$27:$N$27,1,MOD(AF$4-1,12)+1),INDEX(Assumptions!$C$28:$N$28,1,MOD(AF$4-1,12)+1))</f>
        <v/>
      </c>
      <c r="AG6" s="34">
        <f>IF(AG$3=1,INDEX(Assumptions!$C$27:$N$27,1,MOD(AG$4-1,12)+1),INDEX(Assumptions!$C$28:$N$28,1,MOD(AG$4-1,12)+1))</f>
        <v/>
      </c>
      <c r="AH6" s="34">
        <f>IF(AH$3=1,INDEX(Assumptions!$C$27:$N$27,1,MOD(AH$4-1,12)+1),INDEX(Assumptions!$C$28:$N$28,1,MOD(AH$4-1,12)+1))</f>
        <v/>
      </c>
      <c r="AI6" s="34">
        <f>IF(AI$3=1,INDEX(Assumptions!$C$27:$N$27,1,MOD(AI$4-1,12)+1),INDEX(Assumptions!$C$28:$N$28,1,MOD(AI$4-1,12)+1))</f>
        <v/>
      </c>
      <c r="AJ6" s="34">
        <f>IF(AJ$3=1,INDEX(Assumptions!$C$27:$N$27,1,MOD(AJ$4-1,12)+1),INDEX(Assumptions!$C$28:$N$28,1,MOD(AJ$4-1,12)+1))</f>
        <v/>
      </c>
      <c r="AK6" s="34">
        <f>IF(AK$3=1,INDEX(Assumptions!$C$27:$N$27,1,MOD(AK$4-1,12)+1),INDEX(Assumptions!$C$28:$N$28,1,MOD(AK$4-1,12)+1))</f>
        <v/>
      </c>
      <c r="AL6" s="34">
        <f>IF(AL$3=1,INDEX(Assumptions!$C$27:$N$27,1,MOD(AL$4-1,12)+1),INDEX(Assumptions!$C$28:$N$28,1,MOD(AL$4-1,12)+1))</f>
        <v/>
      </c>
    </row>
    <row r="7">
      <c r="A7" s="6" t="inlineStr">
        <is>
          <t>Base volume factor</t>
        </is>
      </c>
      <c r="B7" s="11" t="inlineStr">
        <is>
          <t>x</t>
        </is>
      </c>
      <c r="C7" s="34">
        <f>IF(C$3=1,1,IF(C$3=2,1+Assumptions!$B$19,(1+Assumptions!$B$19)*(1+Assumptions!$B$20)))</f>
        <v/>
      </c>
      <c r="D7" s="34">
        <f>IF(D$3=1,1,IF(D$3=2,1+Assumptions!$B$19,(1+Assumptions!$B$19)*(1+Assumptions!$B$20)))</f>
        <v/>
      </c>
      <c r="E7" s="34">
        <f>IF(E$3=1,1,IF(E$3=2,1+Assumptions!$B$19,(1+Assumptions!$B$19)*(1+Assumptions!$B$20)))</f>
        <v/>
      </c>
      <c r="F7" s="34">
        <f>IF(F$3=1,1,IF(F$3=2,1+Assumptions!$B$19,(1+Assumptions!$B$19)*(1+Assumptions!$B$20)))</f>
        <v/>
      </c>
      <c r="G7" s="34">
        <f>IF(G$3=1,1,IF(G$3=2,1+Assumptions!$B$19,(1+Assumptions!$B$19)*(1+Assumptions!$B$20)))</f>
        <v/>
      </c>
      <c r="H7" s="34">
        <f>IF(H$3=1,1,IF(H$3=2,1+Assumptions!$B$19,(1+Assumptions!$B$19)*(1+Assumptions!$B$20)))</f>
        <v/>
      </c>
      <c r="I7" s="34">
        <f>IF(I$3=1,1,IF(I$3=2,1+Assumptions!$B$19,(1+Assumptions!$B$19)*(1+Assumptions!$B$20)))</f>
        <v/>
      </c>
      <c r="J7" s="34">
        <f>IF(J$3=1,1,IF(J$3=2,1+Assumptions!$B$19,(1+Assumptions!$B$19)*(1+Assumptions!$B$20)))</f>
        <v/>
      </c>
      <c r="K7" s="34">
        <f>IF(K$3=1,1,IF(K$3=2,1+Assumptions!$B$19,(1+Assumptions!$B$19)*(1+Assumptions!$B$20)))</f>
        <v/>
      </c>
      <c r="L7" s="34">
        <f>IF(L$3=1,1,IF(L$3=2,1+Assumptions!$B$19,(1+Assumptions!$B$19)*(1+Assumptions!$B$20)))</f>
        <v/>
      </c>
      <c r="M7" s="34">
        <f>IF(M$3=1,1,IF(M$3=2,1+Assumptions!$B$19,(1+Assumptions!$B$19)*(1+Assumptions!$B$20)))</f>
        <v/>
      </c>
      <c r="N7" s="34">
        <f>IF(N$3=1,1,IF(N$3=2,1+Assumptions!$B$19,(1+Assumptions!$B$19)*(1+Assumptions!$B$20)))</f>
        <v/>
      </c>
      <c r="O7" s="34">
        <f>IF(O$3=1,1,IF(O$3=2,1+Assumptions!$B$19,(1+Assumptions!$B$19)*(1+Assumptions!$B$20)))</f>
        <v/>
      </c>
      <c r="P7" s="34">
        <f>IF(P$3=1,1,IF(P$3=2,1+Assumptions!$B$19,(1+Assumptions!$B$19)*(1+Assumptions!$B$20)))</f>
        <v/>
      </c>
      <c r="Q7" s="34">
        <f>IF(Q$3=1,1,IF(Q$3=2,1+Assumptions!$B$19,(1+Assumptions!$B$19)*(1+Assumptions!$B$20)))</f>
        <v/>
      </c>
      <c r="R7" s="34">
        <f>IF(R$3=1,1,IF(R$3=2,1+Assumptions!$B$19,(1+Assumptions!$B$19)*(1+Assumptions!$B$20)))</f>
        <v/>
      </c>
      <c r="S7" s="34">
        <f>IF(S$3=1,1,IF(S$3=2,1+Assumptions!$B$19,(1+Assumptions!$B$19)*(1+Assumptions!$B$20)))</f>
        <v/>
      </c>
      <c r="T7" s="34">
        <f>IF(T$3=1,1,IF(T$3=2,1+Assumptions!$B$19,(1+Assumptions!$B$19)*(1+Assumptions!$B$20)))</f>
        <v/>
      </c>
      <c r="U7" s="34">
        <f>IF(U$3=1,1,IF(U$3=2,1+Assumptions!$B$19,(1+Assumptions!$B$19)*(1+Assumptions!$B$20)))</f>
        <v/>
      </c>
      <c r="V7" s="34">
        <f>IF(V$3=1,1,IF(V$3=2,1+Assumptions!$B$19,(1+Assumptions!$B$19)*(1+Assumptions!$B$20)))</f>
        <v/>
      </c>
      <c r="W7" s="34">
        <f>IF(W$3=1,1,IF(W$3=2,1+Assumptions!$B$19,(1+Assumptions!$B$19)*(1+Assumptions!$B$20)))</f>
        <v/>
      </c>
      <c r="X7" s="34">
        <f>IF(X$3=1,1,IF(X$3=2,1+Assumptions!$B$19,(1+Assumptions!$B$19)*(1+Assumptions!$B$20)))</f>
        <v/>
      </c>
      <c r="Y7" s="34">
        <f>IF(Y$3=1,1,IF(Y$3=2,1+Assumptions!$B$19,(1+Assumptions!$B$19)*(1+Assumptions!$B$20)))</f>
        <v/>
      </c>
      <c r="Z7" s="34">
        <f>IF(Z$3=1,1,IF(Z$3=2,1+Assumptions!$B$19,(1+Assumptions!$B$19)*(1+Assumptions!$B$20)))</f>
        <v/>
      </c>
      <c r="AA7" s="34">
        <f>IF(AA$3=1,1,IF(AA$3=2,1+Assumptions!$B$19,(1+Assumptions!$B$19)*(1+Assumptions!$B$20)))</f>
        <v/>
      </c>
      <c r="AB7" s="34">
        <f>IF(AB$3=1,1,IF(AB$3=2,1+Assumptions!$B$19,(1+Assumptions!$B$19)*(1+Assumptions!$B$20)))</f>
        <v/>
      </c>
      <c r="AC7" s="34">
        <f>IF(AC$3=1,1,IF(AC$3=2,1+Assumptions!$B$19,(1+Assumptions!$B$19)*(1+Assumptions!$B$20)))</f>
        <v/>
      </c>
      <c r="AD7" s="34">
        <f>IF(AD$3=1,1,IF(AD$3=2,1+Assumptions!$B$19,(1+Assumptions!$B$19)*(1+Assumptions!$B$20)))</f>
        <v/>
      </c>
      <c r="AE7" s="34">
        <f>IF(AE$3=1,1,IF(AE$3=2,1+Assumptions!$B$19,(1+Assumptions!$B$19)*(1+Assumptions!$B$20)))</f>
        <v/>
      </c>
      <c r="AF7" s="34">
        <f>IF(AF$3=1,1,IF(AF$3=2,1+Assumptions!$B$19,(1+Assumptions!$B$19)*(1+Assumptions!$B$20)))</f>
        <v/>
      </c>
      <c r="AG7" s="34">
        <f>IF(AG$3=1,1,IF(AG$3=2,1+Assumptions!$B$19,(1+Assumptions!$B$19)*(1+Assumptions!$B$20)))</f>
        <v/>
      </c>
      <c r="AH7" s="34">
        <f>IF(AH$3=1,1,IF(AH$3=2,1+Assumptions!$B$19,(1+Assumptions!$B$19)*(1+Assumptions!$B$20)))</f>
        <v/>
      </c>
      <c r="AI7" s="34">
        <f>IF(AI$3=1,1,IF(AI$3=2,1+Assumptions!$B$19,(1+Assumptions!$B$19)*(1+Assumptions!$B$20)))</f>
        <v/>
      </c>
      <c r="AJ7" s="34">
        <f>IF(AJ$3=1,1,IF(AJ$3=2,1+Assumptions!$B$19,(1+Assumptions!$B$19)*(1+Assumptions!$B$20)))</f>
        <v/>
      </c>
      <c r="AK7" s="34">
        <f>IF(AK$3=1,1,IF(AK$3=2,1+Assumptions!$B$19,(1+Assumptions!$B$19)*(1+Assumptions!$B$20)))</f>
        <v/>
      </c>
      <c r="AL7" s="34">
        <f>IF(AL$3=1,1,IF(AL$3=2,1+Assumptions!$B$19,(1+Assumptions!$B$19)*(1+Assumptions!$B$20)))</f>
        <v/>
      </c>
    </row>
    <row r="8">
      <c r="A8" s="6" t="inlineStr">
        <is>
          <t>Price factor</t>
        </is>
      </c>
      <c r="B8" s="11" t="inlineStr">
        <is>
          <t>x</t>
        </is>
      </c>
      <c r="C8" s="34">
        <f>IF(C$3=1,1,IF(C$3=2,1+Assumptions!$B$17,(1+Assumptions!$B$17)*(1+Assumptions!$B$18)))</f>
        <v/>
      </c>
      <c r="D8" s="34">
        <f>IF(D$3=1,1,IF(D$3=2,1+Assumptions!$B$17,(1+Assumptions!$B$17)*(1+Assumptions!$B$18)))</f>
        <v/>
      </c>
      <c r="E8" s="34">
        <f>IF(E$3=1,1,IF(E$3=2,1+Assumptions!$B$17,(1+Assumptions!$B$17)*(1+Assumptions!$B$18)))</f>
        <v/>
      </c>
      <c r="F8" s="34">
        <f>IF(F$3=1,1,IF(F$3=2,1+Assumptions!$B$17,(1+Assumptions!$B$17)*(1+Assumptions!$B$18)))</f>
        <v/>
      </c>
      <c r="G8" s="34">
        <f>IF(G$3=1,1,IF(G$3=2,1+Assumptions!$B$17,(1+Assumptions!$B$17)*(1+Assumptions!$B$18)))</f>
        <v/>
      </c>
      <c r="H8" s="34">
        <f>IF(H$3=1,1,IF(H$3=2,1+Assumptions!$B$17,(1+Assumptions!$B$17)*(1+Assumptions!$B$18)))</f>
        <v/>
      </c>
      <c r="I8" s="34">
        <f>IF(I$3=1,1,IF(I$3=2,1+Assumptions!$B$17,(1+Assumptions!$B$17)*(1+Assumptions!$B$18)))</f>
        <v/>
      </c>
      <c r="J8" s="34">
        <f>IF(J$3=1,1,IF(J$3=2,1+Assumptions!$B$17,(1+Assumptions!$B$17)*(1+Assumptions!$B$18)))</f>
        <v/>
      </c>
      <c r="K8" s="34">
        <f>IF(K$3=1,1,IF(K$3=2,1+Assumptions!$B$17,(1+Assumptions!$B$17)*(1+Assumptions!$B$18)))</f>
        <v/>
      </c>
      <c r="L8" s="34">
        <f>IF(L$3=1,1,IF(L$3=2,1+Assumptions!$B$17,(1+Assumptions!$B$17)*(1+Assumptions!$B$18)))</f>
        <v/>
      </c>
      <c r="M8" s="34">
        <f>IF(M$3=1,1,IF(M$3=2,1+Assumptions!$B$17,(1+Assumptions!$B$17)*(1+Assumptions!$B$18)))</f>
        <v/>
      </c>
      <c r="N8" s="34">
        <f>IF(N$3=1,1,IF(N$3=2,1+Assumptions!$B$17,(1+Assumptions!$B$17)*(1+Assumptions!$B$18)))</f>
        <v/>
      </c>
      <c r="O8" s="34">
        <f>IF(O$3=1,1,IF(O$3=2,1+Assumptions!$B$17,(1+Assumptions!$B$17)*(1+Assumptions!$B$18)))</f>
        <v/>
      </c>
      <c r="P8" s="34">
        <f>IF(P$3=1,1,IF(P$3=2,1+Assumptions!$B$17,(1+Assumptions!$B$17)*(1+Assumptions!$B$18)))</f>
        <v/>
      </c>
      <c r="Q8" s="34">
        <f>IF(Q$3=1,1,IF(Q$3=2,1+Assumptions!$B$17,(1+Assumptions!$B$17)*(1+Assumptions!$B$18)))</f>
        <v/>
      </c>
      <c r="R8" s="34">
        <f>IF(R$3=1,1,IF(R$3=2,1+Assumptions!$B$17,(1+Assumptions!$B$17)*(1+Assumptions!$B$18)))</f>
        <v/>
      </c>
      <c r="S8" s="34">
        <f>IF(S$3=1,1,IF(S$3=2,1+Assumptions!$B$17,(1+Assumptions!$B$17)*(1+Assumptions!$B$18)))</f>
        <v/>
      </c>
      <c r="T8" s="34">
        <f>IF(T$3=1,1,IF(T$3=2,1+Assumptions!$B$17,(1+Assumptions!$B$17)*(1+Assumptions!$B$18)))</f>
        <v/>
      </c>
      <c r="U8" s="34">
        <f>IF(U$3=1,1,IF(U$3=2,1+Assumptions!$B$17,(1+Assumptions!$B$17)*(1+Assumptions!$B$18)))</f>
        <v/>
      </c>
      <c r="V8" s="34">
        <f>IF(V$3=1,1,IF(V$3=2,1+Assumptions!$B$17,(1+Assumptions!$B$17)*(1+Assumptions!$B$18)))</f>
        <v/>
      </c>
      <c r="W8" s="34">
        <f>IF(W$3=1,1,IF(W$3=2,1+Assumptions!$B$17,(1+Assumptions!$B$17)*(1+Assumptions!$B$18)))</f>
        <v/>
      </c>
      <c r="X8" s="34">
        <f>IF(X$3=1,1,IF(X$3=2,1+Assumptions!$B$17,(1+Assumptions!$B$17)*(1+Assumptions!$B$18)))</f>
        <v/>
      </c>
      <c r="Y8" s="34">
        <f>IF(Y$3=1,1,IF(Y$3=2,1+Assumptions!$B$17,(1+Assumptions!$B$17)*(1+Assumptions!$B$18)))</f>
        <v/>
      </c>
      <c r="Z8" s="34">
        <f>IF(Z$3=1,1,IF(Z$3=2,1+Assumptions!$B$17,(1+Assumptions!$B$17)*(1+Assumptions!$B$18)))</f>
        <v/>
      </c>
      <c r="AA8" s="34">
        <f>IF(AA$3=1,1,IF(AA$3=2,1+Assumptions!$B$17,(1+Assumptions!$B$17)*(1+Assumptions!$B$18)))</f>
        <v/>
      </c>
      <c r="AB8" s="34">
        <f>IF(AB$3=1,1,IF(AB$3=2,1+Assumptions!$B$17,(1+Assumptions!$B$17)*(1+Assumptions!$B$18)))</f>
        <v/>
      </c>
      <c r="AC8" s="34">
        <f>IF(AC$3=1,1,IF(AC$3=2,1+Assumptions!$B$17,(1+Assumptions!$B$17)*(1+Assumptions!$B$18)))</f>
        <v/>
      </c>
      <c r="AD8" s="34">
        <f>IF(AD$3=1,1,IF(AD$3=2,1+Assumptions!$B$17,(1+Assumptions!$B$17)*(1+Assumptions!$B$18)))</f>
        <v/>
      </c>
      <c r="AE8" s="34">
        <f>IF(AE$3=1,1,IF(AE$3=2,1+Assumptions!$B$17,(1+Assumptions!$B$17)*(1+Assumptions!$B$18)))</f>
        <v/>
      </c>
      <c r="AF8" s="34">
        <f>IF(AF$3=1,1,IF(AF$3=2,1+Assumptions!$B$17,(1+Assumptions!$B$17)*(1+Assumptions!$B$18)))</f>
        <v/>
      </c>
      <c r="AG8" s="34">
        <f>IF(AG$3=1,1,IF(AG$3=2,1+Assumptions!$B$17,(1+Assumptions!$B$17)*(1+Assumptions!$B$18)))</f>
        <v/>
      </c>
      <c r="AH8" s="34">
        <f>IF(AH$3=1,1,IF(AH$3=2,1+Assumptions!$B$17,(1+Assumptions!$B$17)*(1+Assumptions!$B$18)))</f>
        <v/>
      </c>
      <c r="AI8" s="34">
        <f>IF(AI$3=1,1,IF(AI$3=2,1+Assumptions!$B$17,(1+Assumptions!$B$17)*(1+Assumptions!$B$18)))</f>
        <v/>
      </c>
      <c r="AJ8" s="34">
        <f>IF(AJ$3=1,1,IF(AJ$3=2,1+Assumptions!$B$17,(1+Assumptions!$B$17)*(1+Assumptions!$B$18)))</f>
        <v/>
      </c>
      <c r="AK8" s="34">
        <f>IF(AK$3=1,1,IF(AK$3=2,1+Assumptions!$B$17,(1+Assumptions!$B$17)*(1+Assumptions!$B$18)))</f>
        <v/>
      </c>
      <c r="AL8" s="34">
        <f>IF(AL$3=1,1,IF(AL$3=2,1+Assumptions!$B$17,(1+Assumptions!$B$17)*(1+Assumptions!$B$18)))</f>
        <v/>
      </c>
    </row>
    <row r="10">
      <c r="A10" s="12" t="inlineStr">
        <is>
          <t>Revenue</t>
        </is>
      </c>
    </row>
    <row r="11">
      <c r="A11" s="6" t="inlineStr">
        <is>
          <t>Service calls and repairs</t>
        </is>
      </c>
      <c r="B11" s="11" t="inlineStr">
        <is>
          <t>$</t>
        </is>
      </c>
      <c r="C11" s="10">
        <f>Assumptions!$B$7*Assumptions!$C$7*C$6*C$7*C$8</f>
        <v/>
      </c>
      <c r="D11" s="10">
        <f>Assumptions!$B$7*Assumptions!$C$7*D$6*D$7*D$8</f>
        <v/>
      </c>
      <c r="E11" s="10">
        <f>Assumptions!$B$7*Assumptions!$C$7*E$6*E$7*E$8</f>
        <v/>
      </c>
      <c r="F11" s="10">
        <f>Assumptions!$B$7*Assumptions!$C$7*F$6*F$7*F$8</f>
        <v/>
      </c>
      <c r="G11" s="10">
        <f>Assumptions!$B$7*Assumptions!$C$7*G$6*G$7*G$8</f>
        <v/>
      </c>
      <c r="H11" s="10">
        <f>Assumptions!$B$7*Assumptions!$C$7*H$6*H$7*H$8</f>
        <v/>
      </c>
      <c r="I11" s="10">
        <f>Assumptions!$B$7*Assumptions!$C$7*I$6*I$7*I$8</f>
        <v/>
      </c>
      <c r="J11" s="10">
        <f>Assumptions!$B$7*Assumptions!$C$7*J$6*J$7*J$8</f>
        <v/>
      </c>
      <c r="K11" s="10">
        <f>Assumptions!$B$7*Assumptions!$C$7*K$6*K$7*K$8</f>
        <v/>
      </c>
      <c r="L11" s="10">
        <f>Assumptions!$B$7*Assumptions!$C$7*L$6*L$7*L$8</f>
        <v/>
      </c>
      <c r="M11" s="10">
        <f>Assumptions!$B$7*Assumptions!$C$7*M$6*M$7*M$8</f>
        <v/>
      </c>
      <c r="N11" s="10">
        <f>Assumptions!$B$7*Assumptions!$C$7*N$6*N$7*N$8</f>
        <v/>
      </c>
      <c r="O11" s="10">
        <f>Assumptions!$B$7*Assumptions!$C$7*O$6*O$7*O$8</f>
        <v/>
      </c>
      <c r="P11" s="10">
        <f>Assumptions!$B$7*Assumptions!$C$7*P$6*P$7*P$8</f>
        <v/>
      </c>
      <c r="Q11" s="10">
        <f>Assumptions!$B$7*Assumptions!$C$7*Q$6*Q$7*Q$8</f>
        <v/>
      </c>
      <c r="R11" s="10">
        <f>Assumptions!$B$7*Assumptions!$C$7*R$6*R$7*R$8</f>
        <v/>
      </c>
      <c r="S11" s="10">
        <f>Assumptions!$B$7*Assumptions!$C$7*S$6*S$7*S$8</f>
        <v/>
      </c>
      <c r="T11" s="10">
        <f>Assumptions!$B$7*Assumptions!$C$7*T$6*T$7*T$8</f>
        <v/>
      </c>
      <c r="U11" s="10">
        <f>Assumptions!$B$7*Assumptions!$C$7*U$6*U$7*U$8</f>
        <v/>
      </c>
      <c r="V11" s="10">
        <f>Assumptions!$B$7*Assumptions!$C$7*V$6*V$7*V$8</f>
        <v/>
      </c>
      <c r="W11" s="10">
        <f>Assumptions!$B$7*Assumptions!$C$7*W$6*W$7*W$8</f>
        <v/>
      </c>
      <c r="X11" s="10">
        <f>Assumptions!$B$7*Assumptions!$C$7*X$6*X$7*X$8</f>
        <v/>
      </c>
      <c r="Y11" s="10">
        <f>Assumptions!$B$7*Assumptions!$C$7*Y$6*Y$7*Y$8</f>
        <v/>
      </c>
      <c r="Z11" s="10">
        <f>Assumptions!$B$7*Assumptions!$C$7*Z$6*Z$7*Z$8</f>
        <v/>
      </c>
      <c r="AA11" s="10">
        <f>Assumptions!$B$7*Assumptions!$C$7*AA$6*AA$7*AA$8</f>
        <v/>
      </c>
      <c r="AB11" s="10">
        <f>Assumptions!$B$7*Assumptions!$C$7*AB$6*AB$7*AB$8</f>
        <v/>
      </c>
      <c r="AC11" s="10">
        <f>Assumptions!$B$7*Assumptions!$C$7*AC$6*AC$7*AC$8</f>
        <v/>
      </c>
      <c r="AD11" s="10">
        <f>Assumptions!$B$7*Assumptions!$C$7*AD$6*AD$7*AD$8</f>
        <v/>
      </c>
      <c r="AE11" s="10">
        <f>Assumptions!$B$7*Assumptions!$C$7*AE$6*AE$7*AE$8</f>
        <v/>
      </c>
      <c r="AF11" s="10">
        <f>Assumptions!$B$7*Assumptions!$C$7*AF$6*AF$7*AF$8</f>
        <v/>
      </c>
      <c r="AG11" s="10">
        <f>Assumptions!$B$7*Assumptions!$C$7*AG$6*AG$7*AG$8</f>
        <v/>
      </c>
      <c r="AH11" s="10">
        <f>Assumptions!$B$7*Assumptions!$C$7*AH$6*AH$7*AH$8</f>
        <v/>
      </c>
      <c r="AI11" s="10">
        <f>Assumptions!$B$7*Assumptions!$C$7*AI$6*AI$7*AI$8</f>
        <v/>
      </c>
      <c r="AJ11" s="10">
        <f>Assumptions!$B$7*Assumptions!$C$7*AJ$6*AJ$7*AJ$8</f>
        <v/>
      </c>
      <c r="AK11" s="10">
        <f>Assumptions!$B$7*Assumptions!$C$7*AK$6*AK$7*AK$8</f>
        <v/>
      </c>
      <c r="AL11" s="10">
        <f>Assumptions!$B$7*Assumptions!$C$7*AL$6*AL$7*AL$8</f>
        <v/>
      </c>
    </row>
    <row r="12">
      <c r="A12" s="6" t="inlineStr">
        <is>
          <t>Panel upgrades and service changes</t>
        </is>
      </c>
      <c r="B12" s="11" t="inlineStr">
        <is>
          <t>$</t>
        </is>
      </c>
      <c r="C12" s="10">
        <f>Assumptions!$B$8*Assumptions!$C$8*C$6*C$7*C$8</f>
        <v/>
      </c>
      <c r="D12" s="10">
        <f>Assumptions!$B$8*Assumptions!$C$8*D$6*D$7*D$8</f>
        <v/>
      </c>
      <c r="E12" s="10">
        <f>Assumptions!$B$8*Assumptions!$C$8*E$6*E$7*E$8</f>
        <v/>
      </c>
      <c r="F12" s="10">
        <f>Assumptions!$B$8*Assumptions!$C$8*F$6*F$7*F$8</f>
        <v/>
      </c>
      <c r="G12" s="10">
        <f>Assumptions!$B$8*Assumptions!$C$8*G$6*G$7*G$8</f>
        <v/>
      </c>
      <c r="H12" s="10">
        <f>Assumptions!$B$8*Assumptions!$C$8*H$6*H$7*H$8</f>
        <v/>
      </c>
      <c r="I12" s="10">
        <f>Assumptions!$B$8*Assumptions!$C$8*I$6*I$7*I$8</f>
        <v/>
      </c>
      <c r="J12" s="10">
        <f>Assumptions!$B$8*Assumptions!$C$8*J$6*J$7*J$8</f>
        <v/>
      </c>
      <c r="K12" s="10">
        <f>Assumptions!$B$8*Assumptions!$C$8*K$6*K$7*K$8</f>
        <v/>
      </c>
      <c r="L12" s="10">
        <f>Assumptions!$B$8*Assumptions!$C$8*L$6*L$7*L$8</f>
        <v/>
      </c>
      <c r="M12" s="10">
        <f>Assumptions!$B$8*Assumptions!$C$8*M$6*M$7*M$8</f>
        <v/>
      </c>
      <c r="N12" s="10">
        <f>Assumptions!$B$8*Assumptions!$C$8*N$6*N$7*N$8</f>
        <v/>
      </c>
      <c r="O12" s="10">
        <f>Assumptions!$B$8*Assumptions!$C$8*O$6*O$7*O$8</f>
        <v/>
      </c>
      <c r="P12" s="10">
        <f>Assumptions!$B$8*Assumptions!$C$8*P$6*P$7*P$8</f>
        <v/>
      </c>
      <c r="Q12" s="10">
        <f>Assumptions!$B$8*Assumptions!$C$8*Q$6*Q$7*Q$8</f>
        <v/>
      </c>
      <c r="R12" s="10">
        <f>Assumptions!$B$8*Assumptions!$C$8*R$6*R$7*R$8</f>
        <v/>
      </c>
      <c r="S12" s="10">
        <f>Assumptions!$B$8*Assumptions!$C$8*S$6*S$7*S$8</f>
        <v/>
      </c>
      <c r="T12" s="10">
        <f>Assumptions!$B$8*Assumptions!$C$8*T$6*T$7*T$8</f>
        <v/>
      </c>
      <c r="U12" s="10">
        <f>Assumptions!$B$8*Assumptions!$C$8*U$6*U$7*U$8</f>
        <v/>
      </c>
      <c r="V12" s="10">
        <f>Assumptions!$B$8*Assumptions!$C$8*V$6*V$7*V$8</f>
        <v/>
      </c>
      <c r="W12" s="10">
        <f>Assumptions!$B$8*Assumptions!$C$8*W$6*W$7*W$8</f>
        <v/>
      </c>
      <c r="X12" s="10">
        <f>Assumptions!$B$8*Assumptions!$C$8*X$6*X$7*X$8</f>
        <v/>
      </c>
      <c r="Y12" s="10">
        <f>Assumptions!$B$8*Assumptions!$C$8*Y$6*Y$7*Y$8</f>
        <v/>
      </c>
      <c r="Z12" s="10">
        <f>Assumptions!$B$8*Assumptions!$C$8*Z$6*Z$7*Z$8</f>
        <v/>
      </c>
      <c r="AA12" s="10">
        <f>Assumptions!$B$8*Assumptions!$C$8*AA$6*AA$7*AA$8</f>
        <v/>
      </c>
      <c r="AB12" s="10">
        <f>Assumptions!$B$8*Assumptions!$C$8*AB$6*AB$7*AB$8</f>
        <v/>
      </c>
      <c r="AC12" s="10">
        <f>Assumptions!$B$8*Assumptions!$C$8*AC$6*AC$7*AC$8</f>
        <v/>
      </c>
      <c r="AD12" s="10">
        <f>Assumptions!$B$8*Assumptions!$C$8*AD$6*AD$7*AD$8</f>
        <v/>
      </c>
      <c r="AE12" s="10">
        <f>Assumptions!$B$8*Assumptions!$C$8*AE$6*AE$7*AE$8</f>
        <v/>
      </c>
      <c r="AF12" s="10">
        <f>Assumptions!$B$8*Assumptions!$C$8*AF$6*AF$7*AF$8</f>
        <v/>
      </c>
      <c r="AG12" s="10">
        <f>Assumptions!$B$8*Assumptions!$C$8*AG$6*AG$7*AG$8</f>
        <v/>
      </c>
      <c r="AH12" s="10">
        <f>Assumptions!$B$8*Assumptions!$C$8*AH$6*AH$7*AH$8</f>
        <v/>
      </c>
      <c r="AI12" s="10">
        <f>Assumptions!$B$8*Assumptions!$C$8*AI$6*AI$7*AI$8</f>
        <v/>
      </c>
      <c r="AJ12" s="10">
        <f>Assumptions!$B$8*Assumptions!$C$8*AJ$6*AJ$7*AJ$8</f>
        <v/>
      </c>
      <c r="AK12" s="10">
        <f>Assumptions!$B$8*Assumptions!$C$8*AK$6*AK$7*AK$8</f>
        <v/>
      </c>
      <c r="AL12" s="10">
        <f>Assumptions!$B$8*Assumptions!$C$8*AL$6*AL$7*AL$8</f>
        <v/>
      </c>
    </row>
    <row r="13">
      <c r="A13" s="6" t="inlineStr">
        <is>
          <t>EV charger installations</t>
        </is>
      </c>
      <c r="B13" s="11" t="inlineStr">
        <is>
          <t>$</t>
        </is>
      </c>
      <c r="C13" s="10">
        <f>Assumptions!$B$9*Assumptions!$C$9*C$6*C$7*C$8</f>
        <v/>
      </c>
      <c r="D13" s="10">
        <f>Assumptions!$B$9*Assumptions!$C$9*D$6*D$7*D$8</f>
        <v/>
      </c>
      <c r="E13" s="10">
        <f>Assumptions!$B$9*Assumptions!$C$9*E$6*E$7*E$8</f>
        <v/>
      </c>
      <c r="F13" s="10">
        <f>Assumptions!$B$9*Assumptions!$C$9*F$6*F$7*F$8</f>
        <v/>
      </c>
      <c r="G13" s="10">
        <f>Assumptions!$B$9*Assumptions!$C$9*G$6*G$7*G$8</f>
        <v/>
      </c>
      <c r="H13" s="10">
        <f>Assumptions!$B$9*Assumptions!$C$9*H$6*H$7*H$8</f>
        <v/>
      </c>
      <c r="I13" s="10">
        <f>Assumptions!$B$9*Assumptions!$C$9*I$6*I$7*I$8</f>
        <v/>
      </c>
      <c r="J13" s="10">
        <f>Assumptions!$B$9*Assumptions!$C$9*J$6*J$7*J$8</f>
        <v/>
      </c>
      <c r="K13" s="10">
        <f>Assumptions!$B$9*Assumptions!$C$9*K$6*K$7*K$8</f>
        <v/>
      </c>
      <c r="L13" s="10">
        <f>Assumptions!$B$9*Assumptions!$C$9*L$6*L$7*L$8</f>
        <v/>
      </c>
      <c r="M13" s="10">
        <f>Assumptions!$B$9*Assumptions!$C$9*M$6*M$7*M$8</f>
        <v/>
      </c>
      <c r="N13" s="10">
        <f>Assumptions!$B$9*Assumptions!$C$9*N$6*N$7*N$8</f>
        <v/>
      </c>
      <c r="O13" s="10">
        <f>Assumptions!$B$9*Assumptions!$C$9*O$6*O$7*O$8</f>
        <v/>
      </c>
      <c r="P13" s="10">
        <f>Assumptions!$B$9*Assumptions!$C$9*P$6*P$7*P$8</f>
        <v/>
      </c>
      <c r="Q13" s="10">
        <f>Assumptions!$B$9*Assumptions!$C$9*Q$6*Q$7*Q$8</f>
        <v/>
      </c>
      <c r="R13" s="10">
        <f>Assumptions!$B$9*Assumptions!$C$9*R$6*R$7*R$8</f>
        <v/>
      </c>
      <c r="S13" s="10">
        <f>Assumptions!$B$9*Assumptions!$C$9*S$6*S$7*S$8</f>
        <v/>
      </c>
      <c r="T13" s="10">
        <f>Assumptions!$B$9*Assumptions!$C$9*T$6*T$7*T$8</f>
        <v/>
      </c>
      <c r="U13" s="10">
        <f>Assumptions!$B$9*Assumptions!$C$9*U$6*U$7*U$8</f>
        <v/>
      </c>
      <c r="V13" s="10">
        <f>Assumptions!$B$9*Assumptions!$C$9*V$6*V$7*V$8</f>
        <v/>
      </c>
      <c r="W13" s="10">
        <f>Assumptions!$B$9*Assumptions!$C$9*W$6*W$7*W$8</f>
        <v/>
      </c>
      <c r="X13" s="10">
        <f>Assumptions!$B$9*Assumptions!$C$9*X$6*X$7*X$8</f>
        <v/>
      </c>
      <c r="Y13" s="10">
        <f>Assumptions!$B$9*Assumptions!$C$9*Y$6*Y$7*Y$8</f>
        <v/>
      </c>
      <c r="Z13" s="10">
        <f>Assumptions!$B$9*Assumptions!$C$9*Z$6*Z$7*Z$8</f>
        <v/>
      </c>
      <c r="AA13" s="10">
        <f>Assumptions!$B$9*Assumptions!$C$9*AA$6*AA$7*AA$8</f>
        <v/>
      </c>
      <c r="AB13" s="10">
        <f>Assumptions!$B$9*Assumptions!$C$9*AB$6*AB$7*AB$8</f>
        <v/>
      </c>
      <c r="AC13" s="10">
        <f>Assumptions!$B$9*Assumptions!$C$9*AC$6*AC$7*AC$8</f>
        <v/>
      </c>
      <c r="AD13" s="10">
        <f>Assumptions!$B$9*Assumptions!$C$9*AD$6*AD$7*AD$8</f>
        <v/>
      </c>
      <c r="AE13" s="10">
        <f>Assumptions!$B$9*Assumptions!$C$9*AE$6*AE$7*AE$8</f>
        <v/>
      </c>
      <c r="AF13" s="10">
        <f>Assumptions!$B$9*Assumptions!$C$9*AF$6*AF$7*AF$8</f>
        <v/>
      </c>
      <c r="AG13" s="10">
        <f>Assumptions!$B$9*Assumptions!$C$9*AG$6*AG$7*AG$8</f>
        <v/>
      </c>
      <c r="AH13" s="10">
        <f>Assumptions!$B$9*Assumptions!$C$9*AH$6*AH$7*AH$8</f>
        <v/>
      </c>
      <c r="AI13" s="10">
        <f>Assumptions!$B$9*Assumptions!$C$9*AI$6*AI$7*AI$8</f>
        <v/>
      </c>
      <c r="AJ13" s="10">
        <f>Assumptions!$B$9*Assumptions!$C$9*AJ$6*AJ$7*AJ$8</f>
        <v/>
      </c>
      <c r="AK13" s="10">
        <f>Assumptions!$B$9*Assumptions!$C$9*AK$6*AK$7*AK$8</f>
        <v/>
      </c>
      <c r="AL13" s="10">
        <f>Assumptions!$B$9*Assumptions!$C$9*AL$6*AL$7*AL$8</f>
        <v/>
      </c>
    </row>
    <row r="14">
      <c r="A14" s="6" t="inlineStr">
        <is>
          <t>Standby generators</t>
        </is>
      </c>
      <c r="B14" s="11" t="inlineStr">
        <is>
          <t>$</t>
        </is>
      </c>
      <c r="C14" s="10">
        <f>Assumptions!$B$10*Assumptions!$C$10*C$6*C$7*C$8</f>
        <v/>
      </c>
      <c r="D14" s="10">
        <f>Assumptions!$B$10*Assumptions!$C$10*D$6*D$7*D$8</f>
        <v/>
      </c>
      <c r="E14" s="10">
        <f>Assumptions!$B$10*Assumptions!$C$10*E$6*E$7*E$8</f>
        <v/>
      </c>
      <c r="F14" s="10">
        <f>Assumptions!$B$10*Assumptions!$C$10*F$6*F$7*F$8</f>
        <v/>
      </c>
      <c r="G14" s="10">
        <f>Assumptions!$B$10*Assumptions!$C$10*G$6*G$7*G$8</f>
        <v/>
      </c>
      <c r="H14" s="10">
        <f>Assumptions!$B$10*Assumptions!$C$10*H$6*H$7*H$8</f>
        <v/>
      </c>
      <c r="I14" s="10">
        <f>Assumptions!$B$10*Assumptions!$C$10*I$6*I$7*I$8</f>
        <v/>
      </c>
      <c r="J14" s="10">
        <f>Assumptions!$B$10*Assumptions!$C$10*J$6*J$7*J$8</f>
        <v/>
      </c>
      <c r="K14" s="10">
        <f>Assumptions!$B$10*Assumptions!$C$10*K$6*K$7*K$8</f>
        <v/>
      </c>
      <c r="L14" s="10">
        <f>Assumptions!$B$10*Assumptions!$C$10*L$6*L$7*L$8</f>
        <v/>
      </c>
      <c r="M14" s="10">
        <f>Assumptions!$B$10*Assumptions!$C$10*M$6*M$7*M$8</f>
        <v/>
      </c>
      <c r="N14" s="10">
        <f>Assumptions!$B$10*Assumptions!$C$10*N$6*N$7*N$8</f>
        <v/>
      </c>
      <c r="O14" s="10">
        <f>Assumptions!$B$10*Assumptions!$C$10*O$6*O$7*O$8</f>
        <v/>
      </c>
      <c r="P14" s="10">
        <f>Assumptions!$B$10*Assumptions!$C$10*P$6*P$7*P$8</f>
        <v/>
      </c>
      <c r="Q14" s="10">
        <f>Assumptions!$B$10*Assumptions!$C$10*Q$6*Q$7*Q$8</f>
        <v/>
      </c>
      <c r="R14" s="10">
        <f>Assumptions!$B$10*Assumptions!$C$10*R$6*R$7*R$8</f>
        <v/>
      </c>
      <c r="S14" s="10">
        <f>Assumptions!$B$10*Assumptions!$C$10*S$6*S$7*S$8</f>
        <v/>
      </c>
      <c r="T14" s="10">
        <f>Assumptions!$B$10*Assumptions!$C$10*T$6*T$7*T$8</f>
        <v/>
      </c>
      <c r="U14" s="10">
        <f>Assumptions!$B$10*Assumptions!$C$10*U$6*U$7*U$8</f>
        <v/>
      </c>
      <c r="V14" s="10">
        <f>Assumptions!$B$10*Assumptions!$C$10*V$6*V$7*V$8</f>
        <v/>
      </c>
      <c r="W14" s="10">
        <f>Assumptions!$B$10*Assumptions!$C$10*W$6*W$7*W$8</f>
        <v/>
      </c>
      <c r="X14" s="10">
        <f>Assumptions!$B$10*Assumptions!$C$10*X$6*X$7*X$8</f>
        <v/>
      </c>
      <c r="Y14" s="10">
        <f>Assumptions!$B$10*Assumptions!$C$10*Y$6*Y$7*Y$8</f>
        <v/>
      </c>
      <c r="Z14" s="10">
        <f>Assumptions!$B$10*Assumptions!$C$10*Z$6*Z$7*Z$8</f>
        <v/>
      </c>
      <c r="AA14" s="10">
        <f>Assumptions!$B$10*Assumptions!$C$10*AA$6*AA$7*AA$8</f>
        <v/>
      </c>
      <c r="AB14" s="10">
        <f>Assumptions!$B$10*Assumptions!$C$10*AB$6*AB$7*AB$8</f>
        <v/>
      </c>
      <c r="AC14" s="10">
        <f>Assumptions!$B$10*Assumptions!$C$10*AC$6*AC$7*AC$8</f>
        <v/>
      </c>
      <c r="AD14" s="10">
        <f>Assumptions!$B$10*Assumptions!$C$10*AD$6*AD$7*AD$8</f>
        <v/>
      </c>
      <c r="AE14" s="10">
        <f>Assumptions!$B$10*Assumptions!$C$10*AE$6*AE$7*AE$8</f>
        <v/>
      </c>
      <c r="AF14" s="10">
        <f>Assumptions!$B$10*Assumptions!$C$10*AF$6*AF$7*AF$8</f>
        <v/>
      </c>
      <c r="AG14" s="10">
        <f>Assumptions!$B$10*Assumptions!$C$10*AG$6*AG$7*AG$8</f>
        <v/>
      </c>
      <c r="AH14" s="10">
        <f>Assumptions!$B$10*Assumptions!$C$10*AH$6*AH$7*AH$8</f>
        <v/>
      </c>
      <c r="AI14" s="10">
        <f>Assumptions!$B$10*Assumptions!$C$10*AI$6*AI$7*AI$8</f>
        <v/>
      </c>
      <c r="AJ14" s="10">
        <f>Assumptions!$B$10*Assumptions!$C$10*AJ$6*AJ$7*AJ$8</f>
        <v/>
      </c>
      <c r="AK14" s="10">
        <f>Assumptions!$B$10*Assumptions!$C$10*AK$6*AK$7*AK$8</f>
        <v/>
      </c>
      <c r="AL14" s="10">
        <f>Assumptions!$B$10*Assumptions!$C$10*AL$6*AL$7*AL$8</f>
        <v/>
      </c>
    </row>
    <row r="15">
      <c r="A15" s="6" t="inlineStr">
        <is>
          <t>Generator inlets and interlocks</t>
        </is>
      </c>
      <c r="B15" s="11" t="inlineStr">
        <is>
          <t>$</t>
        </is>
      </c>
      <c r="C15" s="10">
        <f>Assumptions!$B$11*Assumptions!$C$11*C$6*C$7*C$8</f>
        <v/>
      </c>
      <c r="D15" s="10">
        <f>Assumptions!$B$11*Assumptions!$C$11*D$6*D$7*D$8</f>
        <v/>
      </c>
      <c r="E15" s="10">
        <f>Assumptions!$B$11*Assumptions!$C$11*E$6*E$7*E$8</f>
        <v/>
      </c>
      <c r="F15" s="10">
        <f>Assumptions!$B$11*Assumptions!$C$11*F$6*F$7*F$8</f>
        <v/>
      </c>
      <c r="G15" s="10">
        <f>Assumptions!$B$11*Assumptions!$C$11*G$6*G$7*G$8</f>
        <v/>
      </c>
      <c r="H15" s="10">
        <f>Assumptions!$B$11*Assumptions!$C$11*H$6*H$7*H$8</f>
        <v/>
      </c>
      <c r="I15" s="10">
        <f>Assumptions!$B$11*Assumptions!$C$11*I$6*I$7*I$8</f>
        <v/>
      </c>
      <c r="J15" s="10">
        <f>Assumptions!$B$11*Assumptions!$C$11*J$6*J$7*J$8</f>
        <v/>
      </c>
      <c r="K15" s="10">
        <f>Assumptions!$B$11*Assumptions!$C$11*K$6*K$7*K$8</f>
        <v/>
      </c>
      <c r="L15" s="10">
        <f>Assumptions!$B$11*Assumptions!$C$11*L$6*L$7*L$8</f>
        <v/>
      </c>
      <c r="M15" s="10">
        <f>Assumptions!$B$11*Assumptions!$C$11*M$6*M$7*M$8</f>
        <v/>
      </c>
      <c r="N15" s="10">
        <f>Assumptions!$B$11*Assumptions!$C$11*N$6*N$7*N$8</f>
        <v/>
      </c>
      <c r="O15" s="10">
        <f>Assumptions!$B$11*Assumptions!$C$11*O$6*O$7*O$8</f>
        <v/>
      </c>
      <c r="P15" s="10">
        <f>Assumptions!$B$11*Assumptions!$C$11*P$6*P$7*P$8</f>
        <v/>
      </c>
      <c r="Q15" s="10">
        <f>Assumptions!$B$11*Assumptions!$C$11*Q$6*Q$7*Q$8</f>
        <v/>
      </c>
      <c r="R15" s="10">
        <f>Assumptions!$B$11*Assumptions!$C$11*R$6*R$7*R$8</f>
        <v/>
      </c>
      <c r="S15" s="10">
        <f>Assumptions!$B$11*Assumptions!$C$11*S$6*S$7*S$8</f>
        <v/>
      </c>
      <c r="T15" s="10">
        <f>Assumptions!$B$11*Assumptions!$C$11*T$6*T$7*T$8</f>
        <v/>
      </c>
      <c r="U15" s="10">
        <f>Assumptions!$B$11*Assumptions!$C$11*U$6*U$7*U$8</f>
        <v/>
      </c>
      <c r="V15" s="10">
        <f>Assumptions!$B$11*Assumptions!$C$11*V$6*V$7*V$8</f>
        <v/>
      </c>
      <c r="W15" s="10">
        <f>Assumptions!$B$11*Assumptions!$C$11*W$6*W$7*W$8</f>
        <v/>
      </c>
      <c r="X15" s="10">
        <f>Assumptions!$B$11*Assumptions!$C$11*X$6*X$7*X$8</f>
        <v/>
      </c>
      <c r="Y15" s="10">
        <f>Assumptions!$B$11*Assumptions!$C$11*Y$6*Y$7*Y$8</f>
        <v/>
      </c>
      <c r="Z15" s="10">
        <f>Assumptions!$B$11*Assumptions!$C$11*Z$6*Z$7*Z$8</f>
        <v/>
      </c>
      <c r="AA15" s="10">
        <f>Assumptions!$B$11*Assumptions!$C$11*AA$6*AA$7*AA$8</f>
        <v/>
      </c>
      <c r="AB15" s="10">
        <f>Assumptions!$B$11*Assumptions!$C$11*AB$6*AB$7*AB$8</f>
        <v/>
      </c>
      <c r="AC15" s="10">
        <f>Assumptions!$B$11*Assumptions!$C$11*AC$6*AC$7*AC$8</f>
        <v/>
      </c>
      <c r="AD15" s="10">
        <f>Assumptions!$B$11*Assumptions!$C$11*AD$6*AD$7*AD$8</f>
        <v/>
      </c>
      <c r="AE15" s="10">
        <f>Assumptions!$B$11*Assumptions!$C$11*AE$6*AE$7*AE$8</f>
        <v/>
      </c>
      <c r="AF15" s="10">
        <f>Assumptions!$B$11*Assumptions!$C$11*AF$6*AF$7*AF$8</f>
        <v/>
      </c>
      <c r="AG15" s="10">
        <f>Assumptions!$B$11*Assumptions!$C$11*AG$6*AG$7*AG$8</f>
        <v/>
      </c>
      <c r="AH15" s="10">
        <f>Assumptions!$B$11*Assumptions!$C$11*AH$6*AH$7*AH$8</f>
        <v/>
      </c>
      <c r="AI15" s="10">
        <f>Assumptions!$B$11*Assumptions!$C$11*AI$6*AI$7*AI$8</f>
        <v/>
      </c>
      <c r="AJ15" s="10">
        <f>Assumptions!$B$11*Assumptions!$C$11*AJ$6*AJ$7*AJ$8</f>
        <v/>
      </c>
      <c r="AK15" s="10">
        <f>Assumptions!$B$11*Assumptions!$C$11*AK$6*AK$7*AK$8</f>
        <v/>
      </c>
      <c r="AL15" s="10">
        <f>Assumptions!$B$11*Assumptions!$C$11*AL$6*AL$7*AL$8</f>
        <v/>
      </c>
    </row>
    <row r="16">
      <c r="A16" s="6" t="inlineStr">
        <is>
          <t>Lighting and fans</t>
        </is>
      </c>
      <c r="B16" s="11" t="inlineStr">
        <is>
          <t>$</t>
        </is>
      </c>
      <c r="C16" s="10">
        <f>Assumptions!$B$12*Assumptions!$C$12*C$6*C$7*C$8</f>
        <v/>
      </c>
      <c r="D16" s="10">
        <f>Assumptions!$B$12*Assumptions!$C$12*D$6*D$7*D$8</f>
        <v/>
      </c>
      <c r="E16" s="10">
        <f>Assumptions!$B$12*Assumptions!$C$12*E$6*E$7*E$8</f>
        <v/>
      </c>
      <c r="F16" s="10">
        <f>Assumptions!$B$12*Assumptions!$C$12*F$6*F$7*F$8</f>
        <v/>
      </c>
      <c r="G16" s="10">
        <f>Assumptions!$B$12*Assumptions!$C$12*G$6*G$7*G$8</f>
        <v/>
      </c>
      <c r="H16" s="10">
        <f>Assumptions!$B$12*Assumptions!$C$12*H$6*H$7*H$8</f>
        <v/>
      </c>
      <c r="I16" s="10">
        <f>Assumptions!$B$12*Assumptions!$C$12*I$6*I$7*I$8</f>
        <v/>
      </c>
      <c r="J16" s="10">
        <f>Assumptions!$B$12*Assumptions!$C$12*J$6*J$7*J$8</f>
        <v/>
      </c>
      <c r="K16" s="10">
        <f>Assumptions!$B$12*Assumptions!$C$12*K$6*K$7*K$8</f>
        <v/>
      </c>
      <c r="L16" s="10">
        <f>Assumptions!$B$12*Assumptions!$C$12*L$6*L$7*L$8</f>
        <v/>
      </c>
      <c r="M16" s="10">
        <f>Assumptions!$B$12*Assumptions!$C$12*M$6*M$7*M$8</f>
        <v/>
      </c>
      <c r="N16" s="10">
        <f>Assumptions!$B$12*Assumptions!$C$12*N$6*N$7*N$8</f>
        <v/>
      </c>
      <c r="O16" s="10">
        <f>Assumptions!$B$12*Assumptions!$C$12*O$6*O$7*O$8</f>
        <v/>
      </c>
      <c r="P16" s="10">
        <f>Assumptions!$B$12*Assumptions!$C$12*P$6*P$7*P$8</f>
        <v/>
      </c>
      <c r="Q16" s="10">
        <f>Assumptions!$B$12*Assumptions!$C$12*Q$6*Q$7*Q$8</f>
        <v/>
      </c>
      <c r="R16" s="10">
        <f>Assumptions!$B$12*Assumptions!$C$12*R$6*R$7*R$8</f>
        <v/>
      </c>
      <c r="S16" s="10">
        <f>Assumptions!$B$12*Assumptions!$C$12*S$6*S$7*S$8</f>
        <v/>
      </c>
      <c r="T16" s="10">
        <f>Assumptions!$B$12*Assumptions!$C$12*T$6*T$7*T$8</f>
        <v/>
      </c>
      <c r="U16" s="10">
        <f>Assumptions!$B$12*Assumptions!$C$12*U$6*U$7*U$8</f>
        <v/>
      </c>
      <c r="V16" s="10">
        <f>Assumptions!$B$12*Assumptions!$C$12*V$6*V$7*V$8</f>
        <v/>
      </c>
      <c r="W16" s="10">
        <f>Assumptions!$B$12*Assumptions!$C$12*W$6*W$7*W$8</f>
        <v/>
      </c>
      <c r="X16" s="10">
        <f>Assumptions!$B$12*Assumptions!$C$12*X$6*X$7*X$8</f>
        <v/>
      </c>
      <c r="Y16" s="10">
        <f>Assumptions!$B$12*Assumptions!$C$12*Y$6*Y$7*Y$8</f>
        <v/>
      </c>
      <c r="Z16" s="10">
        <f>Assumptions!$B$12*Assumptions!$C$12*Z$6*Z$7*Z$8</f>
        <v/>
      </c>
      <c r="AA16" s="10">
        <f>Assumptions!$B$12*Assumptions!$C$12*AA$6*AA$7*AA$8</f>
        <v/>
      </c>
      <c r="AB16" s="10">
        <f>Assumptions!$B$12*Assumptions!$C$12*AB$6*AB$7*AB$8</f>
        <v/>
      </c>
      <c r="AC16" s="10">
        <f>Assumptions!$B$12*Assumptions!$C$12*AC$6*AC$7*AC$8</f>
        <v/>
      </c>
      <c r="AD16" s="10">
        <f>Assumptions!$B$12*Assumptions!$C$12*AD$6*AD$7*AD$8</f>
        <v/>
      </c>
      <c r="AE16" s="10">
        <f>Assumptions!$B$12*Assumptions!$C$12*AE$6*AE$7*AE$8</f>
        <v/>
      </c>
      <c r="AF16" s="10">
        <f>Assumptions!$B$12*Assumptions!$C$12*AF$6*AF$7*AF$8</f>
        <v/>
      </c>
      <c r="AG16" s="10">
        <f>Assumptions!$B$12*Assumptions!$C$12*AG$6*AG$7*AG$8</f>
        <v/>
      </c>
      <c r="AH16" s="10">
        <f>Assumptions!$B$12*Assumptions!$C$12*AH$6*AH$7*AH$8</f>
        <v/>
      </c>
      <c r="AI16" s="10">
        <f>Assumptions!$B$12*Assumptions!$C$12*AI$6*AI$7*AI$8</f>
        <v/>
      </c>
      <c r="AJ16" s="10">
        <f>Assumptions!$B$12*Assumptions!$C$12*AJ$6*AJ$7*AJ$8</f>
        <v/>
      </c>
      <c r="AK16" s="10">
        <f>Assumptions!$B$12*Assumptions!$C$12*AK$6*AK$7*AK$8</f>
        <v/>
      </c>
      <c r="AL16" s="10">
        <f>Assumptions!$B$12*Assumptions!$C$12*AL$6*AL$7*AL$8</f>
        <v/>
      </c>
    </row>
    <row r="17">
      <c r="A17" s="6" t="inlineStr">
        <is>
          <t>Remodel contracting</t>
        </is>
      </c>
      <c r="B17" s="11" t="inlineStr">
        <is>
          <t>$</t>
        </is>
      </c>
      <c r="C17" s="10">
        <f>Assumptions!$B$13*Assumptions!$C$13*C$6*C$7*C$8</f>
        <v/>
      </c>
      <c r="D17" s="10">
        <f>Assumptions!$B$13*Assumptions!$C$13*D$6*D$7*D$8</f>
        <v/>
      </c>
      <c r="E17" s="10">
        <f>Assumptions!$B$13*Assumptions!$C$13*E$6*E$7*E$8</f>
        <v/>
      </c>
      <c r="F17" s="10">
        <f>Assumptions!$B$13*Assumptions!$C$13*F$6*F$7*F$8</f>
        <v/>
      </c>
      <c r="G17" s="10">
        <f>Assumptions!$B$13*Assumptions!$C$13*G$6*G$7*G$8</f>
        <v/>
      </c>
      <c r="H17" s="10">
        <f>Assumptions!$B$13*Assumptions!$C$13*H$6*H$7*H$8</f>
        <v/>
      </c>
      <c r="I17" s="10">
        <f>Assumptions!$B$13*Assumptions!$C$13*I$6*I$7*I$8</f>
        <v/>
      </c>
      <c r="J17" s="10">
        <f>Assumptions!$B$13*Assumptions!$C$13*J$6*J$7*J$8</f>
        <v/>
      </c>
      <c r="K17" s="10">
        <f>Assumptions!$B$13*Assumptions!$C$13*K$6*K$7*K$8</f>
        <v/>
      </c>
      <c r="L17" s="10">
        <f>Assumptions!$B$13*Assumptions!$C$13*L$6*L$7*L$8</f>
        <v/>
      </c>
      <c r="M17" s="10">
        <f>Assumptions!$B$13*Assumptions!$C$13*M$6*M$7*M$8</f>
        <v/>
      </c>
      <c r="N17" s="10">
        <f>Assumptions!$B$13*Assumptions!$C$13*N$6*N$7*N$8</f>
        <v/>
      </c>
      <c r="O17" s="10">
        <f>Assumptions!$B$13*Assumptions!$C$13*O$6*O$7*O$8</f>
        <v/>
      </c>
      <c r="P17" s="10">
        <f>Assumptions!$B$13*Assumptions!$C$13*P$6*P$7*P$8</f>
        <v/>
      </c>
      <c r="Q17" s="10">
        <f>Assumptions!$B$13*Assumptions!$C$13*Q$6*Q$7*Q$8</f>
        <v/>
      </c>
      <c r="R17" s="10">
        <f>Assumptions!$B$13*Assumptions!$C$13*R$6*R$7*R$8</f>
        <v/>
      </c>
      <c r="S17" s="10">
        <f>Assumptions!$B$13*Assumptions!$C$13*S$6*S$7*S$8</f>
        <v/>
      </c>
      <c r="T17" s="10">
        <f>Assumptions!$B$13*Assumptions!$C$13*T$6*T$7*T$8</f>
        <v/>
      </c>
      <c r="U17" s="10">
        <f>Assumptions!$B$13*Assumptions!$C$13*U$6*U$7*U$8</f>
        <v/>
      </c>
      <c r="V17" s="10">
        <f>Assumptions!$B$13*Assumptions!$C$13*V$6*V$7*V$8</f>
        <v/>
      </c>
      <c r="W17" s="10">
        <f>Assumptions!$B$13*Assumptions!$C$13*W$6*W$7*W$8</f>
        <v/>
      </c>
      <c r="X17" s="10">
        <f>Assumptions!$B$13*Assumptions!$C$13*X$6*X$7*X$8</f>
        <v/>
      </c>
      <c r="Y17" s="10">
        <f>Assumptions!$B$13*Assumptions!$C$13*Y$6*Y$7*Y$8</f>
        <v/>
      </c>
      <c r="Z17" s="10">
        <f>Assumptions!$B$13*Assumptions!$C$13*Z$6*Z$7*Z$8</f>
        <v/>
      </c>
      <c r="AA17" s="10">
        <f>Assumptions!$B$13*Assumptions!$C$13*AA$6*AA$7*AA$8</f>
        <v/>
      </c>
      <c r="AB17" s="10">
        <f>Assumptions!$B$13*Assumptions!$C$13*AB$6*AB$7*AB$8</f>
        <v/>
      </c>
      <c r="AC17" s="10">
        <f>Assumptions!$B$13*Assumptions!$C$13*AC$6*AC$7*AC$8</f>
        <v/>
      </c>
      <c r="AD17" s="10">
        <f>Assumptions!$B$13*Assumptions!$C$13*AD$6*AD$7*AD$8</f>
        <v/>
      </c>
      <c r="AE17" s="10">
        <f>Assumptions!$B$13*Assumptions!$C$13*AE$6*AE$7*AE$8</f>
        <v/>
      </c>
      <c r="AF17" s="10">
        <f>Assumptions!$B$13*Assumptions!$C$13*AF$6*AF$7*AF$8</f>
        <v/>
      </c>
      <c r="AG17" s="10">
        <f>Assumptions!$B$13*Assumptions!$C$13*AG$6*AG$7*AG$8</f>
        <v/>
      </c>
      <c r="AH17" s="10">
        <f>Assumptions!$B$13*Assumptions!$C$13*AH$6*AH$7*AH$8</f>
        <v/>
      </c>
      <c r="AI17" s="10">
        <f>Assumptions!$B$13*Assumptions!$C$13*AI$6*AI$7*AI$8</f>
        <v/>
      </c>
      <c r="AJ17" s="10">
        <f>Assumptions!$B$13*Assumptions!$C$13*AJ$6*AJ$7*AJ$8</f>
        <v/>
      </c>
      <c r="AK17" s="10">
        <f>Assumptions!$B$13*Assumptions!$C$13*AK$6*AK$7*AK$8</f>
        <v/>
      </c>
      <c r="AL17" s="10">
        <f>Assumptions!$B$13*Assumptions!$C$13*AL$6*AL$7*AL$8</f>
        <v/>
      </c>
    </row>
    <row r="18">
      <c r="A18" s="6" t="inlineStr">
        <is>
          <t>Journeyman 1 added revenue</t>
        </is>
      </c>
      <c r="B18" s="11" t="inlineStr">
        <is>
          <t>$</t>
        </is>
      </c>
      <c r="C18" s="10">
        <f>IF(C$4&lt;Assumptions!$C$34,0,Assumptions!$B$21*MIN(1,0.5+0.25*(C$4-Assumptions!$C$34))*C$6*C$8)</f>
        <v/>
      </c>
      <c r="D18" s="10">
        <f>IF(D$4&lt;Assumptions!$C$34,0,Assumptions!$B$21*MIN(1,0.5+0.25*(D$4-Assumptions!$C$34))*D$6*D$8)</f>
        <v/>
      </c>
      <c r="E18" s="10">
        <f>IF(E$4&lt;Assumptions!$C$34,0,Assumptions!$B$21*MIN(1,0.5+0.25*(E$4-Assumptions!$C$34))*E$6*E$8)</f>
        <v/>
      </c>
      <c r="F18" s="10">
        <f>IF(F$4&lt;Assumptions!$C$34,0,Assumptions!$B$21*MIN(1,0.5+0.25*(F$4-Assumptions!$C$34))*F$6*F$8)</f>
        <v/>
      </c>
      <c r="G18" s="10">
        <f>IF(G$4&lt;Assumptions!$C$34,0,Assumptions!$B$21*MIN(1,0.5+0.25*(G$4-Assumptions!$C$34))*G$6*G$8)</f>
        <v/>
      </c>
      <c r="H18" s="10">
        <f>IF(H$4&lt;Assumptions!$C$34,0,Assumptions!$B$21*MIN(1,0.5+0.25*(H$4-Assumptions!$C$34))*H$6*H$8)</f>
        <v/>
      </c>
      <c r="I18" s="10">
        <f>IF(I$4&lt;Assumptions!$C$34,0,Assumptions!$B$21*MIN(1,0.5+0.25*(I$4-Assumptions!$C$34))*I$6*I$8)</f>
        <v/>
      </c>
      <c r="J18" s="10">
        <f>IF(J$4&lt;Assumptions!$C$34,0,Assumptions!$B$21*MIN(1,0.5+0.25*(J$4-Assumptions!$C$34))*J$6*J$8)</f>
        <v/>
      </c>
      <c r="K18" s="10">
        <f>IF(K$4&lt;Assumptions!$C$34,0,Assumptions!$B$21*MIN(1,0.5+0.25*(K$4-Assumptions!$C$34))*K$6*K$8)</f>
        <v/>
      </c>
      <c r="L18" s="10">
        <f>IF(L$4&lt;Assumptions!$C$34,0,Assumptions!$B$21*MIN(1,0.5+0.25*(L$4-Assumptions!$C$34))*L$6*L$8)</f>
        <v/>
      </c>
      <c r="M18" s="10">
        <f>IF(M$4&lt;Assumptions!$C$34,0,Assumptions!$B$21*MIN(1,0.5+0.25*(M$4-Assumptions!$C$34))*M$6*M$8)</f>
        <v/>
      </c>
      <c r="N18" s="10">
        <f>IF(N$4&lt;Assumptions!$C$34,0,Assumptions!$B$21*MIN(1,0.5+0.25*(N$4-Assumptions!$C$34))*N$6*N$8)</f>
        <v/>
      </c>
      <c r="O18" s="10">
        <f>IF(O$4&lt;Assumptions!$C$34,0,Assumptions!$B$21*MIN(1,0.5+0.25*(O$4-Assumptions!$C$34))*O$6*O$8)</f>
        <v/>
      </c>
      <c r="P18" s="10">
        <f>IF(P$4&lt;Assumptions!$C$34,0,Assumptions!$B$21*MIN(1,0.5+0.25*(P$4-Assumptions!$C$34))*P$6*P$8)</f>
        <v/>
      </c>
      <c r="Q18" s="10">
        <f>IF(Q$4&lt;Assumptions!$C$34,0,Assumptions!$B$21*MIN(1,0.5+0.25*(Q$4-Assumptions!$C$34))*Q$6*Q$8)</f>
        <v/>
      </c>
      <c r="R18" s="10">
        <f>IF(R$4&lt;Assumptions!$C$34,0,Assumptions!$B$21*MIN(1,0.5+0.25*(R$4-Assumptions!$C$34))*R$6*R$8)</f>
        <v/>
      </c>
      <c r="S18" s="10">
        <f>IF(S$4&lt;Assumptions!$C$34,0,Assumptions!$B$21*MIN(1,0.5+0.25*(S$4-Assumptions!$C$34))*S$6*S$8)</f>
        <v/>
      </c>
      <c r="T18" s="10">
        <f>IF(T$4&lt;Assumptions!$C$34,0,Assumptions!$B$21*MIN(1,0.5+0.25*(T$4-Assumptions!$C$34))*T$6*T$8)</f>
        <v/>
      </c>
      <c r="U18" s="10">
        <f>IF(U$4&lt;Assumptions!$C$34,0,Assumptions!$B$21*MIN(1,0.5+0.25*(U$4-Assumptions!$C$34))*U$6*U$8)</f>
        <v/>
      </c>
      <c r="V18" s="10">
        <f>IF(V$4&lt;Assumptions!$C$34,0,Assumptions!$B$21*MIN(1,0.5+0.25*(V$4-Assumptions!$C$34))*V$6*V$8)</f>
        <v/>
      </c>
      <c r="W18" s="10">
        <f>IF(W$4&lt;Assumptions!$C$34,0,Assumptions!$B$21*MIN(1,0.5+0.25*(W$4-Assumptions!$C$34))*W$6*W$8)</f>
        <v/>
      </c>
      <c r="X18" s="10">
        <f>IF(X$4&lt;Assumptions!$C$34,0,Assumptions!$B$21*MIN(1,0.5+0.25*(X$4-Assumptions!$C$34))*X$6*X$8)</f>
        <v/>
      </c>
      <c r="Y18" s="10">
        <f>IF(Y$4&lt;Assumptions!$C$34,0,Assumptions!$B$21*MIN(1,0.5+0.25*(Y$4-Assumptions!$C$34))*Y$6*Y$8)</f>
        <v/>
      </c>
      <c r="Z18" s="10">
        <f>IF(Z$4&lt;Assumptions!$C$34,0,Assumptions!$B$21*MIN(1,0.5+0.25*(Z$4-Assumptions!$C$34))*Z$6*Z$8)</f>
        <v/>
      </c>
      <c r="AA18" s="10">
        <f>IF(AA$4&lt;Assumptions!$C$34,0,Assumptions!$B$21*MIN(1,0.5+0.25*(AA$4-Assumptions!$C$34))*AA$6*AA$8)</f>
        <v/>
      </c>
      <c r="AB18" s="10">
        <f>IF(AB$4&lt;Assumptions!$C$34,0,Assumptions!$B$21*MIN(1,0.5+0.25*(AB$4-Assumptions!$C$34))*AB$6*AB$8)</f>
        <v/>
      </c>
      <c r="AC18" s="10">
        <f>IF(AC$4&lt;Assumptions!$C$34,0,Assumptions!$B$21*MIN(1,0.5+0.25*(AC$4-Assumptions!$C$34))*AC$6*AC$8)</f>
        <v/>
      </c>
      <c r="AD18" s="10">
        <f>IF(AD$4&lt;Assumptions!$C$34,0,Assumptions!$B$21*MIN(1,0.5+0.25*(AD$4-Assumptions!$C$34))*AD$6*AD$8)</f>
        <v/>
      </c>
      <c r="AE18" s="10">
        <f>IF(AE$4&lt;Assumptions!$C$34,0,Assumptions!$B$21*MIN(1,0.5+0.25*(AE$4-Assumptions!$C$34))*AE$6*AE$8)</f>
        <v/>
      </c>
      <c r="AF18" s="10">
        <f>IF(AF$4&lt;Assumptions!$C$34,0,Assumptions!$B$21*MIN(1,0.5+0.25*(AF$4-Assumptions!$C$34))*AF$6*AF$8)</f>
        <v/>
      </c>
      <c r="AG18" s="10">
        <f>IF(AG$4&lt;Assumptions!$C$34,0,Assumptions!$B$21*MIN(1,0.5+0.25*(AG$4-Assumptions!$C$34))*AG$6*AG$8)</f>
        <v/>
      </c>
      <c r="AH18" s="10">
        <f>IF(AH$4&lt;Assumptions!$C$34,0,Assumptions!$B$21*MIN(1,0.5+0.25*(AH$4-Assumptions!$C$34))*AH$6*AH$8)</f>
        <v/>
      </c>
      <c r="AI18" s="10">
        <f>IF(AI$4&lt;Assumptions!$C$34,0,Assumptions!$B$21*MIN(1,0.5+0.25*(AI$4-Assumptions!$C$34))*AI$6*AI$8)</f>
        <v/>
      </c>
      <c r="AJ18" s="10">
        <f>IF(AJ$4&lt;Assumptions!$C$34,0,Assumptions!$B$21*MIN(1,0.5+0.25*(AJ$4-Assumptions!$C$34))*AJ$6*AJ$8)</f>
        <v/>
      </c>
      <c r="AK18" s="10">
        <f>IF(AK$4&lt;Assumptions!$C$34,0,Assumptions!$B$21*MIN(1,0.5+0.25*(AK$4-Assumptions!$C$34))*AK$6*AK$8)</f>
        <v/>
      </c>
      <c r="AL18" s="10">
        <f>IF(AL$4&lt;Assumptions!$C$34,0,Assumptions!$B$21*MIN(1,0.5+0.25*(AL$4-Assumptions!$C$34))*AL$6*AL$8)</f>
        <v/>
      </c>
    </row>
    <row r="19">
      <c r="A19" s="6" t="inlineStr">
        <is>
          <t>Journeyman 2 added revenue</t>
        </is>
      </c>
      <c r="B19" s="11" t="inlineStr">
        <is>
          <t>$</t>
        </is>
      </c>
      <c r="C19" s="10">
        <f>IF(C$4&lt;Assumptions!$C$35,0,Assumptions!$B$21*MIN(1,0.5+0.25*(C$4-Assumptions!$C$35))*C$6*C$8)</f>
        <v/>
      </c>
      <c r="D19" s="10">
        <f>IF(D$4&lt;Assumptions!$C$35,0,Assumptions!$B$21*MIN(1,0.5+0.25*(D$4-Assumptions!$C$35))*D$6*D$8)</f>
        <v/>
      </c>
      <c r="E19" s="10">
        <f>IF(E$4&lt;Assumptions!$C$35,0,Assumptions!$B$21*MIN(1,0.5+0.25*(E$4-Assumptions!$C$35))*E$6*E$8)</f>
        <v/>
      </c>
      <c r="F19" s="10">
        <f>IF(F$4&lt;Assumptions!$C$35,0,Assumptions!$B$21*MIN(1,0.5+0.25*(F$4-Assumptions!$C$35))*F$6*F$8)</f>
        <v/>
      </c>
      <c r="G19" s="10">
        <f>IF(G$4&lt;Assumptions!$C$35,0,Assumptions!$B$21*MIN(1,0.5+0.25*(G$4-Assumptions!$C$35))*G$6*G$8)</f>
        <v/>
      </c>
      <c r="H19" s="10">
        <f>IF(H$4&lt;Assumptions!$C$35,0,Assumptions!$B$21*MIN(1,0.5+0.25*(H$4-Assumptions!$C$35))*H$6*H$8)</f>
        <v/>
      </c>
      <c r="I19" s="10">
        <f>IF(I$4&lt;Assumptions!$C$35,0,Assumptions!$B$21*MIN(1,0.5+0.25*(I$4-Assumptions!$C$35))*I$6*I$8)</f>
        <v/>
      </c>
      <c r="J19" s="10">
        <f>IF(J$4&lt;Assumptions!$C$35,0,Assumptions!$B$21*MIN(1,0.5+0.25*(J$4-Assumptions!$C$35))*J$6*J$8)</f>
        <v/>
      </c>
      <c r="K19" s="10">
        <f>IF(K$4&lt;Assumptions!$C$35,0,Assumptions!$B$21*MIN(1,0.5+0.25*(K$4-Assumptions!$C$35))*K$6*K$8)</f>
        <v/>
      </c>
      <c r="L19" s="10">
        <f>IF(L$4&lt;Assumptions!$C$35,0,Assumptions!$B$21*MIN(1,0.5+0.25*(L$4-Assumptions!$C$35))*L$6*L$8)</f>
        <v/>
      </c>
      <c r="M19" s="10">
        <f>IF(M$4&lt;Assumptions!$C$35,0,Assumptions!$B$21*MIN(1,0.5+0.25*(M$4-Assumptions!$C$35))*M$6*M$8)</f>
        <v/>
      </c>
      <c r="N19" s="10">
        <f>IF(N$4&lt;Assumptions!$C$35,0,Assumptions!$B$21*MIN(1,0.5+0.25*(N$4-Assumptions!$C$35))*N$6*N$8)</f>
        <v/>
      </c>
      <c r="O19" s="10">
        <f>IF(O$4&lt;Assumptions!$C$35,0,Assumptions!$B$21*MIN(1,0.5+0.25*(O$4-Assumptions!$C$35))*O$6*O$8)</f>
        <v/>
      </c>
      <c r="P19" s="10">
        <f>IF(P$4&lt;Assumptions!$C$35,0,Assumptions!$B$21*MIN(1,0.5+0.25*(P$4-Assumptions!$C$35))*P$6*P$8)</f>
        <v/>
      </c>
      <c r="Q19" s="10">
        <f>IF(Q$4&lt;Assumptions!$C$35,0,Assumptions!$B$21*MIN(1,0.5+0.25*(Q$4-Assumptions!$C$35))*Q$6*Q$8)</f>
        <v/>
      </c>
      <c r="R19" s="10">
        <f>IF(R$4&lt;Assumptions!$C$35,0,Assumptions!$B$21*MIN(1,0.5+0.25*(R$4-Assumptions!$C$35))*R$6*R$8)</f>
        <v/>
      </c>
      <c r="S19" s="10">
        <f>IF(S$4&lt;Assumptions!$C$35,0,Assumptions!$B$21*MIN(1,0.5+0.25*(S$4-Assumptions!$C$35))*S$6*S$8)</f>
        <v/>
      </c>
      <c r="T19" s="10">
        <f>IF(T$4&lt;Assumptions!$C$35,0,Assumptions!$B$21*MIN(1,0.5+0.25*(T$4-Assumptions!$C$35))*T$6*T$8)</f>
        <v/>
      </c>
      <c r="U19" s="10">
        <f>IF(U$4&lt;Assumptions!$C$35,0,Assumptions!$B$21*MIN(1,0.5+0.25*(U$4-Assumptions!$C$35))*U$6*U$8)</f>
        <v/>
      </c>
      <c r="V19" s="10">
        <f>IF(V$4&lt;Assumptions!$C$35,0,Assumptions!$B$21*MIN(1,0.5+0.25*(V$4-Assumptions!$C$35))*V$6*V$8)</f>
        <v/>
      </c>
      <c r="W19" s="10">
        <f>IF(W$4&lt;Assumptions!$C$35,0,Assumptions!$B$21*MIN(1,0.5+0.25*(W$4-Assumptions!$C$35))*W$6*W$8)</f>
        <v/>
      </c>
      <c r="X19" s="10">
        <f>IF(X$4&lt;Assumptions!$C$35,0,Assumptions!$B$21*MIN(1,0.5+0.25*(X$4-Assumptions!$C$35))*X$6*X$8)</f>
        <v/>
      </c>
      <c r="Y19" s="10">
        <f>IF(Y$4&lt;Assumptions!$C$35,0,Assumptions!$B$21*MIN(1,0.5+0.25*(Y$4-Assumptions!$C$35))*Y$6*Y$8)</f>
        <v/>
      </c>
      <c r="Z19" s="10">
        <f>IF(Z$4&lt;Assumptions!$C$35,0,Assumptions!$B$21*MIN(1,0.5+0.25*(Z$4-Assumptions!$C$35))*Z$6*Z$8)</f>
        <v/>
      </c>
      <c r="AA19" s="10">
        <f>IF(AA$4&lt;Assumptions!$C$35,0,Assumptions!$B$21*MIN(1,0.5+0.25*(AA$4-Assumptions!$C$35))*AA$6*AA$8)</f>
        <v/>
      </c>
      <c r="AB19" s="10">
        <f>IF(AB$4&lt;Assumptions!$C$35,0,Assumptions!$B$21*MIN(1,0.5+0.25*(AB$4-Assumptions!$C$35))*AB$6*AB$8)</f>
        <v/>
      </c>
      <c r="AC19" s="10">
        <f>IF(AC$4&lt;Assumptions!$C$35,0,Assumptions!$B$21*MIN(1,0.5+0.25*(AC$4-Assumptions!$C$35))*AC$6*AC$8)</f>
        <v/>
      </c>
      <c r="AD19" s="10">
        <f>IF(AD$4&lt;Assumptions!$C$35,0,Assumptions!$B$21*MIN(1,0.5+0.25*(AD$4-Assumptions!$C$35))*AD$6*AD$8)</f>
        <v/>
      </c>
      <c r="AE19" s="10">
        <f>IF(AE$4&lt;Assumptions!$C$35,0,Assumptions!$B$21*MIN(1,0.5+0.25*(AE$4-Assumptions!$C$35))*AE$6*AE$8)</f>
        <v/>
      </c>
      <c r="AF19" s="10">
        <f>IF(AF$4&lt;Assumptions!$C$35,0,Assumptions!$B$21*MIN(1,0.5+0.25*(AF$4-Assumptions!$C$35))*AF$6*AF$8)</f>
        <v/>
      </c>
      <c r="AG19" s="10">
        <f>IF(AG$4&lt;Assumptions!$C$35,0,Assumptions!$B$21*MIN(1,0.5+0.25*(AG$4-Assumptions!$C$35))*AG$6*AG$8)</f>
        <v/>
      </c>
      <c r="AH19" s="10">
        <f>IF(AH$4&lt;Assumptions!$C$35,0,Assumptions!$B$21*MIN(1,0.5+0.25*(AH$4-Assumptions!$C$35))*AH$6*AH$8)</f>
        <v/>
      </c>
      <c r="AI19" s="10">
        <f>IF(AI$4&lt;Assumptions!$C$35,0,Assumptions!$B$21*MIN(1,0.5+0.25*(AI$4-Assumptions!$C$35))*AI$6*AI$8)</f>
        <v/>
      </c>
      <c r="AJ19" s="10">
        <f>IF(AJ$4&lt;Assumptions!$C$35,0,Assumptions!$B$21*MIN(1,0.5+0.25*(AJ$4-Assumptions!$C$35))*AJ$6*AJ$8)</f>
        <v/>
      </c>
      <c r="AK19" s="10">
        <f>IF(AK$4&lt;Assumptions!$C$35,0,Assumptions!$B$21*MIN(1,0.5+0.25*(AK$4-Assumptions!$C$35))*AK$6*AK$8)</f>
        <v/>
      </c>
      <c r="AL19" s="10">
        <f>IF(AL$4&lt;Assumptions!$C$35,0,Assumptions!$B$21*MIN(1,0.5+0.25*(AL$4-Assumptions!$C$35))*AL$6*AL$8)</f>
        <v/>
      </c>
    </row>
    <row r="20">
      <c r="A20" s="12" t="inlineStr">
        <is>
          <t>Total revenue</t>
        </is>
      </c>
      <c r="B20" s="11" t="inlineStr">
        <is>
          <t>$</t>
        </is>
      </c>
      <c r="C20" s="27">
        <f>SUM(C11:C19)</f>
        <v/>
      </c>
      <c r="D20" s="27">
        <f>SUM(D11:D19)</f>
        <v/>
      </c>
      <c r="E20" s="27">
        <f>SUM(E11:E19)</f>
        <v/>
      </c>
      <c r="F20" s="27">
        <f>SUM(F11:F19)</f>
        <v/>
      </c>
      <c r="G20" s="27">
        <f>SUM(G11:G19)</f>
        <v/>
      </c>
      <c r="H20" s="27">
        <f>SUM(H11:H19)</f>
        <v/>
      </c>
      <c r="I20" s="27">
        <f>SUM(I11:I19)</f>
        <v/>
      </c>
      <c r="J20" s="27">
        <f>SUM(J11:J19)</f>
        <v/>
      </c>
      <c r="K20" s="27">
        <f>SUM(K11:K19)</f>
        <v/>
      </c>
      <c r="L20" s="27">
        <f>SUM(L11:L19)</f>
        <v/>
      </c>
      <c r="M20" s="27">
        <f>SUM(M11:M19)</f>
        <v/>
      </c>
      <c r="N20" s="27">
        <f>SUM(N11:N19)</f>
        <v/>
      </c>
      <c r="O20" s="27">
        <f>SUM(O11:O19)</f>
        <v/>
      </c>
      <c r="P20" s="27">
        <f>SUM(P11:P19)</f>
        <v/>
      </c>
      <c r="Q20" s="27">
        <f>SUM(Q11:Q19)</f>
        <v/>
      </c>
      <c r="R20" s="27">
        <f>SUM(R11:R19)</f>
        <v/>
      </c>
      <c r="S20" s="27">
        <f>SUM(S11:S19)</f>
        <v/>
      </c>
      <c r="T20" s="27">
        <f>SUM(T11:T19)</f>
        <v/>
      </c>
      <c r="U20" s="27">
        <f>SUM(U11:U19)</f>
        <v/>
      </c>
      <c r="V20" s="27">
        <f>SUM(V11:V19)</f>
        <v/>
      </c>
      <c r="W20" s="27">
        <f>SUM(W11:W19)</f>
        <v/>
      </c>
      <c r="X20" s="27">
        <f>SUM(X11:X19)</f>
        <v/>
      </c>
      <c r="Y20" s="27">
        <f>SUM(Y11:Y19)</f>
        <v/>
      </c>
      <c r="Z20" s="27">
        <f>SUM(Z11:Z19)</f>
        <v/>
      </c>
      <c r="AA20" s="27">
        <f>SUM(AA11:AA19)</f>
        <v/>
      </c>
      <c r="AB20" s="27">
        <f>SUM(AB11:AB19)</f>
        <v/>
      </c>
      <c r="AC20" s="27">
        <f>SUM(AC11:AC19)</f>
        <v/>
      </c>
      <c r="AD20" s="27">
        <f>SUM(AD11:AD19)</f>
        <v/>
      </c>
      <c r="AE20" s="27">
        <f>SUM(AE11:AE19)</f>
        <v/>
      </c>
      <c r="AF20" s="27">
        <f>SUM(AF11:AF19)</f>
        <v/>
      </c>
      <c r="AG20" s="27">
        <f>SUM(AG11:AG19)</f>
        <v/>
      </c>
      <c r="AH20" s="27">
        <f>SUM(AH11:AH19)</f>
        <v/>
      </c>
      <c r="AI20" s="27">
        <f>SUM(AI11:AI19)</f>
        <v/>
      </c>
      <c r="AJ20" s="27">
        <f>SUM(AJ11:AJ19)</f>
        <v/>
      </c>
      <c r="AK20" s="27">
        <f>SUM(AK11:AK19)</f>
        <v/>
      </c>
      <c r="AL20" s="27">
        <f>SUM(AL11:AL19)</f>
        <v/>
      </c>
    </row>
    <row r="21">
      <c r="A21" s="6" t="inlineStr">
        <is>
          <t>Jobs completed (base lines)</t>
        </is>
      </c>
      <c r="B21" s="11" t="inlineStr">
        <is>
          <t>#</t>
        </is>
      </c>
      <c r="C21" s="18">
        <f>Assumptions!$B$7*C$6*C$7+Assumptions!$B$8*C$6*C$7+Assumptions!$B$9*C$6*C$7+Assumptions!$B$10*C$6*C$7+Assumptions!$B$11*C$6*C$7+Assumptions!$B$12*C$6*C$7+Assumptions!$B$13*C$6*C$7</f>
        <v/>
      </c>
      <c r="D21" s="18">
        <f>Assumptions!$B$7*D$6*D$7+Assumptions!$B$8*D$6*D$7+Assumptions!$B$9*D$6*D$7+Assumptions!$B$10*D$6*D$7+Assumptions!$B$11*D$6*D$7+Assumptions!$B$12*D$6*D$7+Assumptions!$B$13*D$6*D$7</f>
        <v/>
      </c>
      <c r="E21" s="18">
        <f>Assumptions!$B$7*E$6*E$7+Assumptions!$B$8*E$6*E$7+Assumptions!$B$9*E$6*E$7+Assumptions!$B$10*E$6*E$7+Assumptions!$B$11*E$6*E$7+Assumptions!$B$12*E$6*E$7+Assumptions!$B$13*E$6*E$7</f>
        <v/>
      </c>
      <c r="F21" s="18">
        <f>Assumptions!$B$7*F$6*F$7+Assumptions!$B$8*F$6*F$7+Assumptions!$B$9*F$6*F$7+Assumptions!$B$10*F$6*F$7+Assumptions!$B$11*F$6*F$7+Assumptions!$B$12*F$6*F$7+Assumptions!$B$13*F$6*F$7</f>
        <v/>
      </c>
      <c r="G21" s="18">
        <f>Assumptions!$B$7*G$6*G$7+Assumptions!$B$8*G$6*G$7+Assumptions!$B$9*G$6*G$7+Assumptions!$B$10*G$6*G$7+Assumptions!$B$11*G$6*G$7+Assumptions!$B$12*G$6*G$7+Assumptions!$B$13*G$6*G$7</f>
        <v/>
      </c>
      <c r="H21" s="18">
        <f>Assumptions!$B$7*H$6*H$7+Assumptions!$B$8*H$6*H$7+Assumptions!$B$9*H$6*H$7+Assumptions!$B$10*H$6*H$7+Assumptions!$B$11*H$6*H$7+Assumptions!$B$12*H$6*H$7+Assumptions!$B$13*H$6*H$7</f>
        <v/>
      </c>
      <c r="I21" s="18">
        <f>Assumptions!$B$7*I$6*I$7+Assumptions!$B$8*I$6*I$7+Assumptions!$B$9*I$6*I$7+Assumptions!$B$10*I$6*I$7+Assumptions!$B$11*I$6*I$7+Assumptions!$B$12*I$6*I$7+Assumptions!$B$13*I$6*I$7</f>
        <v/>
      </c>
      <c r="J21" s="18">
        <f>Assumptions!$B$7*J$6*J$7+Assumptions!$B$8*J$6*J$7+Assumptions!$B$9*J$6*J$7+Assumptions!$B$10*J$6*J$7+Assumptions!$B$11*J$6*J$7+Assumptions!$B$12*J$6*J$7+Assumptions!$B$13*J$6*J$7</f>
        <v/>
      </c>
      <c r="K21" s="18">
        <f>Assumptions!$B$7*K$6*K$7+Assumptions!$B$8*K$6*K$7+Assumptions!$B$9*K$6*K$7+Assumptions!$B$10*K$6*K$7+Assumptions!$B$11*K$6*K$7+Assumptions!$B$12*K$6*K$7+Assumptions!$B$13*K$6*K$7</f>
        <v/>
      </c>
      <c r="L21" s="18">
        <f>Assumptions!$B$7*L$6*L$7+Assumptions!$B$8*L$6*L$7+Assumptions!$B$9*L$6*L$7+Assumptions!$B$10*L$6*L$7+Assumptions!$B$11*L$6*L$7+Assumptions!$B$12*L$6*L$7+Assumptions!$B$13*L$6*L$7</f>
        <v/>
      </c>
      <c r="M21" s="18">
        <f>Assumptions!$B$7*M$6*M$7+Assumptions!$B$8*M$6*M$7+Assumptions!$B$9*M$6*M$7+Assumptions!$B$10*M$6*M$7+Assumptions!$B$11*M$6*M$7+Assumptions!$B$12*M$6*M$7+Assumptions!$B$13*M$6*M$7</f>
        <v/>
      </c>
      <c r="N21" s="18">
        <f>Assumptions!$B$7*N$6*N$7+Assumptions!$B$8*N$6*N$7+Assumptions!$B$9*N$6*N$7+Assumptions!$B$10*N$6*N$7+Assumptions!$B$11*N$6*N$7+Assumptions!$B$12*N$6*N$7+Assumptions!$B$13*N$6*N$7</f>
        <v/>
      </c>
      <c r="O21" s="18">
        <f>Assumptions!$B$7*O$6*O$7+Assumptions!$B$8*O$6*O$7+Assumptions!$B$9*O$6*O$7+Assumptions!$B$10*O$6*O$7+Assumptions!$B$11*O$6*O$7+Assumptions!$B$12*O$6*O$7+Assumptions!$B$13*O$6*O$7</f>
        <v/>
      </c>
      <c r="P21" s="18">
        <f>Assumptions!$B$7*P$6*P$7+Assumptions!$B$8*P$6*P$7+Assumptions!$B$9*P$6*P$7+Assumptions!$B$10*P$6*P$7+Assumptions!$B$11*P$6*P$7+Assumptions!$B$12*P$6*P$7+Assumptions!$B$13*P$6*P$7</f>
        <v/>
      </c>
      <c r="Q21" s="18">
        <f>Assumptions!$B$7*Q$6*Q$7+Assumptions!$B$8*Q$6*Q$7+Assumptions!$B$9*Q$6*Q$7+Assumptions!$B$10*Q$6*Q$7+Assumptions!$B$11*Q$6*Q$7+Assumptions!$B$12*Q$6*Q$7+Assumptions!$B$13*Q$6*Q$7</f>
        <v/>
      </c>
      <c r="R21" s="18">
        <f>Assumptions!$B$7*R$6*R$7+Assumptions!$B$8*R$6*R$7+Assumptions!$B$9*R$6*R$7+Assumptions!$B$10*R$6*R$7+Assumptions!$B$11*R$6*R$7+Assumptions!$B$12*R$6*R$7+Assumptions!$B$13*R$6*R$7</f>
        <v/>
      </c>
      <c r="S21" s="18">
        <f>Assumptions!$B$7*S$6*S$7+Assumptions!$B$8*S$6*S$7+Assumptions!$B$9*S$6*S$7+Assumptions!$B$10*S$6*S$7+Assumptions!$B$11*S$6*S$7+Assumptions!$B$12*S$6*S$7+Assumptions!$B$13*S$6*S$7</f>
        <v/>
      </c>
      <c r="T21" s="18">
        <f>Assumptions!$B$7*T$6*T$7+Assumptions!$B$8*T$6*T$7+Assumptions!$B$9*T$6*T$7+Assumptions!$B$10*T$6*T$7+Assumptions!$B$11*T$6*T$7+Assumptions!$B$12*T$6*T$7+Assumptions!$B$13*T$6*T$7</f>
        <v/>
      </c>
      <c r="U21" s="18">
        <f>Assumptions!$B$7*U$6*U$7+Assumptions!$B$8*U$6*U$7+Assumptions!$B$9*U$6*U$7+Assumptions!$B$10*U$6*U$7+Assumptions!$B$11*U$6*U$7+Assumptions!$B$12*U$6*U$7+Assumptions!$B$13*U$6*U$7</f>
        <v/>
      </c>
      <c r="V21" s="18">
        <f>Assumptions!$B$7*V$6*V$7+Assumptions!$B$8*V$6*V$7+Assumptions!$B$9*V$6*V$7+Assumptions!$B$10*V$6*V$7+Assumptions!$B$11*V$6*V$7+Assumptions!$B$12*V$6*V$7+Assumptions!$B$13*V$6*V$7</f>
        <v/>
      </c>
      <c r="W21" s="18">
        <f>Assumptions!$B$7*W$6*W$7+Assumptions!$B$8*W$6*W$7+Assumptions!$B$9*W$6*W$7+Assumptions!$B$10*W$6*W$7+Assumptions!$B$11*W$6*W$7+Assumptions!$B$12*W$6*W$7+Assumptions!$B$13*W$6*W$7</f>
        <v/>
      </c>
      <c r="X21" s="18">
        <f>Assumptions!$B$7*X$6*X$7+Assumptions!$B$8*X$6*X$7+Assumptions!$B$9*X$6*X$7+Assumptions!$B$10*X$6*X$7+Assumptions!$B$11*X$6*X$7+Assumptions!$B$12*X$6*X$7+Assumptions!$B$13*X$6*X$7</f>
        <v/>
      </c>
      <c r="Y21" s="18">
        <f>Assumptions!$B$7*Y$6*Y$7+Assumptions!$B$8*Y$6*Y$7+Assumptions!$B$9*Y$6*Y$7+Assumptions!$B$10*Y$6*Y$7+Assumptions!$B$11*Y$6*Y$7+Assumptions!$B$12*Y$6*Y$7+Assumptions!$B$13*Y$6*Y$7</f>
        <v/>
      </c>
      <c r="Z21" s="18">
        <f>Assumptions!$B$7*Z$6*Z$7+Assumptions!$B$8*Z$6*Z$7+Assumptions!$B$9*Z$6*Z$7+Assumptions!$B$10*Z$6*Z$7+Assumptions!$B$11*Z$6*Z$7+Assumptions!$B$12*Z$6*Z$7+Assumptions!$B$13*Z$6*Z$7</f>
        <v/>
      </c>
      <c r="AA21" s="18">
        <f>Assumptions!$B$7*AA$6*AA$7+Assumptions!$B$8*AA$6*AA$7+Assumptions!$B$9*AA$6*AA$7+Assumptions!$B$10*AA$6*AA$7+Assumptions!$B$11*AA$6*AA$7+Assumptions!$B$12*AA$6*AA$7+Assumptions!$B$13*AA$6*AA$7</f>
        <v/>
      </c>
      <c r="AB21" s="18">
        <f>Assumptions!$B$7*AB$6*AB$7+Assumptions!$B$8*AB$6*AB$7+Assumptions!$B$9*AB$6*AB$7+Assumptions!$B$10*AB$6*AB$7+Assumptions!$B$11*AB$6*AB$7+Assumptions!$B$12*AB$6*AB$7+Assumptions!$B$13*AB$6*AB$7</f>
        <v/>
      </c>
      <c r="AC21" s="18">
        <f>Assumptions!$B$7*AC$6*AC$7+Assumptions!$B$8*AC$6*AC$7+Assumptions!$B$9*AC$6*AC$7+Assumptions!$B$10*AC$6*AC$7+Assumptions!$B$11*AC$6*AC$7+Assumptions!$B$12*AC$6*AC$7+Assumptions!$B$13*AC$6*AC$7</f>
        <v/>
      </c>
      <c r="AD21" s="18">
        <f>Assumptions!$B$7*AD$6*AD$7+Assumptions!$B$8*AD$6*AD$7+Assumptions!$B$9*AD$6*AD$7+Assumptions!$B$10*AD$6*AD$7+Assumptions!$B$11*AD$6*AD$7+Assumptions!$B$12*AD$6*AD$7+Assumptions!$B$13*AD$6*AD$7</f>
        <v/>
      </c>
      <c r="AE21" s="18">
        <f>Assumptions!$B$7*AE$6*AE$7+Assumptions!$B$8*AE$6*AE$7+Assumptions!$B$9*AE$6*AE$7+Assumptions!$B$10*AE$6*AE$7+Assumptions!$B$11*AE$6*AE$7+Assumptions!$B$12*AE$6*AE$7+Assumptions!$B$13*AE$6*AE$7</f>
        <v/>
      </c>
      <c r="AF21" s="18">
        <f>Assumptions!$B$7*AF$6*AF$7+Assumptions!$B$8*AF$6*AF$7+Assumptions!$B$9*AF$6*AF$7+Assumptions!$B$10*AF$6*AF$7+Assumptions!$B$11*AF$6*AF$7+Assumptions!$B$12*AF$6*AF$7+Assumptions!$B$13*AF$6*AF$7</f>
        <v/>
      </c>
      <c r="AG21" s="18">
        <f>Assumptions!$B$7*AG$6*AG$7+Assumptions!$B$8*AG$6*AG$7+Assumptions!$B$9*AG$6*AG$7+Assumptions!$B$10*AG$6*AG$7+Assumptions!$B$11*AG$6*AG$7+Assumptions!$B$12*AG$6*AG$7+Assumptions!$B$13*AG$6*AG$7</f>
        <v/>
      </c>
      <c r="AH21" s="18">
        <f>Assumptions!$B$7*AH$6*AH$7+Assumptions!$B$8*AH$6*AH$7+Assumptions!$B$9*AH$6*AH$7+Assumptions!$B$10*AH$6*AH$7+Assumptions!$B$11*AH$6*AH$7+Assumptions!$B$12*AH$6*AH$7+Assumptions!$B$13*AH$6*AH$7</f>
        <v/>
      </c>
      <c r="AI21" s="18">
        <f>Assumptions!$B$7*AI$6*AI$7+Assumptions!$B$8*AI$6*AI$7+Assumptions!$B$9*AI$6*AI$7+Assumptions!$B$10*AI$6*AI$7+Assumptions!$B$11*AI$6*AI$7+Assumptions!$B$12*AI$6*AI$7+Assumptions!$B$13*AI$6*AI$7</f>
        <v/>
      </c>
      <c r="AJ21" s="18">
        <f>Assumptions!$B$7*AJ$6*AJ$7+Assumptions!$B$8*AJ$6*AJ$7+Assumptions!$B$9*AJ$6*AJ$7+Assumptions!$B$10*AJ$6*AJ$7+Assumptions!$B$11*AJ$6*AJ$7+Assumptions!$B$12*AJ$6*AJ$7+Assumptions!$B$13*AJ$6*AJ$7</f>
        <v/>
      </c>
      <c r="AK21" s="18">
        <f>Assumptions!$B$7*AK$6*AK$7+Assumptions!$B$8*AK$6*AK$7+Assumptions!$B$9*AK$6*AK$7+Assumptions!$B$10*AK$6*AK$7+Assumptions!$B$11*AK$6*AK$7+Assumptions!$B$12*AK$6*AK$7+Assumptions!$B$13*AK$6*AK$7</f>
        <v/>
      </c>
      <c r="AL21" s="18">
        <f>Assumptions!$B$7*AL$6*AL$7+Assumptions!$B$8*AL$6*AL$7+Assumptions!$B$9*AL$6*AL$7+Assumptions!$B$10*AL$6*AL$7+Assumptions!$B$11*AL$6*AL$7+Assumptions!$B$12*AL$6*AL$7+Assumptions!$B$13*AL$6*AL$7</f>
        <v/>
      </c>
    </row>
    <row r="23">
      <c r="A23" s="12" t="inlineStr">
        <is>
          <t>Materials, equipment and subcontractors</t>
        </is>
      </c>
    </row>
    <row r="24">
      <c r="A24" s="6" t="inlineStr">
        <is>
          <t>Service calls and repairs</t>
        </is>
      </c>
      <c r="B24" s="11" t="inlineStr">
        <is>
          <t>$</t>
        </is>
      </c>
      <c r="C24" s="10">
        <f>C11*Assumptions!$D$7</f>
        <v/>
      </c>
      <c r="D24" s="10">
        <f>D11*Assumptions!$D$7</f>
        <v/>
      </c>
      <c r="E24" s="10">
        <f>E11*Assumptions!$D$7</f>
        <v/>
      </c>
      <c r="F24" s="10">
        <f>F11*Assumptions!$D$7</f>
        <v/>
      </c>
      <c r="G24" s="10">
        <f>G11*Assumptions!$D$7</f>
        <v/>
      </c>
      <c r="H24" s="10">
        <f>H11*Assumptions!$D$7</f>
        <v/>
      </c>
      <c r="I24" s="10">
        <f>I11*Assumptions!$D$7</f>
        <v/>
      </c>
      <c r="J24" s="10">
        <f>J11*Assumptions!$D$7</f>
        <v/>
      </c>
      <c r="K24" s="10">
        <f>K11*Assumptions!$D$7</f>
        <v/>
      </c>
      <c r="L24" s="10">
        <f>L11*Assumptions!$D$7</f>
        <v/>
      </c>
      <c r="M24" s="10">
        <f>M11*Assumptions!$D$7</f>
        <v/>
      </c>
      <c r="N24" s="10">
        <f>N11*Assumptions!$D$7</f>
        <v/>
      </c>
      <c r="O24" s="10">
        <f>O11*Assumptions!$D$7</f>
        <v/>
      </c>
      <c r="P24" s="10">
        <f>P11*Assumptions!$D$7</f>
        <v/>
      </c>
      <c r="Q24" s="10">
        <f>Q11*Assumptions!$D$7</f>
        <v/>
      </c>
      <c r="R24" s="10">
        <f>R11*Assumptions!$D$7</f>
        <v/>
      </c>
      <c r="S24" s="10">
        <f>S11*Assumptions!$D$7</f>
        <v/>
      </c>
      <c r="T24" s="10">
        <f>T11*Assumptions!$D$7</f>
        <v/>
      </c>
      <c r="U24" s="10">
        <f>U11*Assumptions!$D$7</f>
        <v/>
      </c>
      <c r="V24" s="10">
        <f>V11*Assumptions!$D$7</f>
        <v/>
      </c>
      <c r="W24" s="10">
        <f>W11*Assumptions!$D$7</f>
        <v/>
      </c>
      <c r="X24" s="10">
        <f>X11*Assumptions!$D$7</f>
        <v/>
      </c>
      <c r="Y24" s="10">
        <f>Y11*Assumptions!$D$7</f>
        <v/>
      </c>
      <c r="Z24" s="10">
        <f>Z11*Assumptions!$D$7</f>
        <v/>
      </c>
      <c r="AA24" s="10">
        <f>AA11*Assumptions!$D$7</f>
        <v/>
      </c>
      <c r="AB24" s="10">
        <f>AB11*Assumptions!$D$7</f>
        <v/>
      </c>
      <c r="AC24" s="10">
        <f>AC11*Assumptions!$D$7</f>
        <v/>
      </c>
      <c r="AD24" s="10">
        <f>AD11*Assumptions!$D$7</f>
        <v/>
      </c>
      <c r="AE24" s="10">
        <f>AE11*Assumptions!$D$7</f>
        <v/>
      </c>
      <c r="AF24" s="10">
        <f>AF11*Assumptions!$D$7</f>
        <v/>
      </c>
      <c r="AG24" s="10">
        <f>AG11*Assumptions!$D$7</f>
        <v/>
      </c>
      <c r="AH24" s="10">
        <f>AH11*Assumptions!$D$7</f>
        <v/>
      </c>
      <c r="AI24" s="10">
        <f>AI11*Assumptions!$D$7</f>
        <v/>
      </c>
      <c r="AJ24" s="10">
        <f>AJ11*Assumptions!$D$7</f>
        <v/>
      </c>
      <c r="AK24" s="10">
        <f>AK11*Assumptions!$D$7</f>
        <v/>
      </c>
      <c r="AL24" s="10">
        <f>AL11*Assumptions!$D$7</f>
        <v/>
      </c>
    </row>
    <row r="25">
      <c r="A25" s="6" t="inlineStr">
        <is>
          <t>Panel upgrades and service changes</t>
        </is>
      </c>
      <c r="B25" s="11" t="inlineStr">
        <is>
          <t>$</t>
        </is>
      </c>
      <c r="C25" s="10">
        <f>C12*Assumptions!$D$8</f>
        <v/>
      </c>
      <c r="D25" s="10">
        <f>D12*Assumptions!$D$8</f>
        <v/>
      </c>
      <c r="E25" s="10">
        <f>E12*Assumptions!$D$8</f>
        <v/>
      </c>
      <c r="F25" s="10">
        <f>F12*Assumptions!$D$8</f>
        <v/>
      </c>
      <c r="G25" s="10">
        <f>G12*Assumptions!$D$8</f>
        <v/>
      </c>
      <c r="H25" s="10">
        <f>H12*Assumptions!$D$8</f>
        <v/>
      </c>
      <c r="I25" s="10">
        <f>I12*Assumptions!$D$8</f>
        <v/>
      </c>
      <c r="J25" s="10">
        <f>J12*Assumptions!$D$8</f>
        <v/>
      </c>
      <c r="K25" s="10">
        <f>K12*Assumptions!$D$8</f>
        <v/>
      </c>
      <c r="L25" s="10">
        <f>L12*Assumptions!$D$8</f>
        <v/>
      </c>
      <c r="M25" s="10">
        <f>M12*Assumptions!$D$8</f>
        <v/>
      </c>
      <c r="N25" s="10">
        <f>N12*Assumptions!$D$8</f>
        <v/>
      </c>
      <c r="O25" s="10">
        <f>O12*Assumptions!$D$8</f>
        <v/>
      </c>
      <c r="P25" s="10">
        <f>P12*Assumptions!$D$8</f>
        <v/>
      </c>
      <c r="Q25" s="10">
        <f>Q12*Assumptions!$D$8</f>
        <v/>
      </c>
      <c r="R25" s="10">
        <f>R12*Assumptions!$D$8</f>
        <v/>
      </c>
      <c r="S25" s="10">
        <f>S12*Assumptions!$D$8</f>
        <v/>
      </c>
      <c r="T25" s="10">
        <f>T12*Assumptions!$D$8</f>
        <v/>
      </c>
      <c r="U25" s="10">
        <f>U12*Assumptions!$D$8</f>
        <v/>
      </c>
      <c r="V25" s="10">
        <f>V12*Assumptions!$D$8</f>
        <v/>
      </c>
      <c r="W25" s="10">
        <f>W12*Assumptions!$D$8</f>
        <v/>
      </c>
      <c r="X25" s="10">
        <f>X12*Assumptions!$D$8</f>
        <v/>
      </c>
      <c r="Y25" s="10">
        <f>Y12*Assumptions!$D$8</f>
        <v/>
      </c>
      <c r="Z25" s="10">
        <f>Z12*Assumptions!$D$8</f>
        <v/>
      </c>
      <c r="AA25" s="10">
        <f>AA12*Assumptions!$D$8</f>
        <v/>
      </c>
      <c r="AB25" s="10">
        <f>AB12*Assumptions!$D$8</f>
        <v/>
      </c>
      <c r="AC25" s="10">
        <f>AC12*Assumptions!$D$8</f>
        <v/>
      </c>
      <c r="AD25" s="10">
        <f>AD12*Assumptions!$D$8</f>
        <v/>
      </c>
      <c r="AE25" s="10">
        <f>AE12*Assumptions!$D$8</f>
        <v/>
      </c>
      <c r="AF25" s="10">
        <f>AF12*Assumptions!$D$8</f>
        <v/>
      </c>
      <c r="AG25" s="10">
        <f>AG12*Assumptions!$D$8</f>
        <v/>
      </c>
      <c r="AH25" s="10">
        <f>AH12*Assumptions!$D$8</f>
        <v/>
      </c>
      <c r="AI25" s="10">
        <f>AI12*Assumptions!$D$8</f>
        <v/>
      </c>
      <c r="AJ25" s="10">
        <f>AJ12*Assumptions!$D$8</f>
        <v/>
      </c>
      <c r="AK25" s="10">
        <f>AK12*Assumptions!$D$8</f>
        <v/>
      </c>
      <c r="AL25" s="10">
        <f>AL12*Assumptions!$D$8</f>
        <v/>
      </c>
    </row>
    <row r="26">
      <c r="A26" s="6" t="inlineStr">
        <is>
          <t>EV charger installations</t>
        </is>
      </c>
      <c r="B26" s="11" t="inlineStr">
        <is>
          <t>$</t>
        </is>
      </c>
      <c r="C26" s="10">
        <f>C13*Assumptions!$D$9</f>
        <v/>
      </c>
      <c r="D26" s="10">
        <f>D13*Assumptions!$D$9</f>
        <v/>
      </c>
      <c r="E26" s="10">
        <f>E13*Assumptions!$D$9</f>
        <v/>
      </c>
      <c r="F26" s="10">
        <f>F13*Assumptions!$D$9</f>
        <v/>
      </c>
      <c r="G26" s="10">
        <f>G13*Assumptions!$D$9</f>
        <v/>
      </c>
      <c r="H26" s="10">
        <f>H13*Assumptions!$D$9</f>
        <v/>
      </c>
      <c r="I26" s="10">
        <f>I13*Assumptions!$D$9</f>
        <v/>
      </c>
      <c r="J26" s="10">
        <f>J13*Assumptions!$D$9</f>
        <v/>
      </c>
      <c r="K26" s="10">
        <f>K13*Assumptions!$D$9</f>
        <v/>
      </c>
      <c r="L26" s="10">
        <f>L13*Assumptions!$D$9</f>
        <v/>
      </c>
      <c r="M26" s="10">
        <f>M13*Assumptions!$D$9</f>
        <v/>
      </c>
      <c r="N26" s="10">
        <f>N13*Assumptions!$D$9</f>
        <v/>
      </c>
      <c r="O26" s="10">
        <f>O13*Assumptions!$D$9</f>
        <v/>
      </c>
      <c r="P26" s="10">
        <f>P13*Assumptions!$D$9</f>
        <v/>
      </c>
      <c r="Q26" s="10">
        <f>Q13*Assumptions!$D$9</f>
        <v/>
      </c>
      <c r="R26" s="10">
        <f>R13*Assumptions!$D$9</f>
        <v/>
      </c>
      <c r="S26" s="10">
        <f>S13*Assumptions!$D$9</f>
        <v/>
      </c>
      <c r="T26" s="10">
        <f>T13*Assumptions!$D$9</f>
        <v/>
      </c>
      <c r="U26" s="10">
        <f>U13*Assumptions!$D$9</f>
        <v/>
      </c>
      <c r="V26" s="10">
        <f>V13*Assumptions!$D$9</f>
        <v/>
      </c>
      <c r="W26" s="10">
        <f>W13*Assumptions!$D$9</f>
        <v/>
      </c>
      <c r="X26" s="10">
        <f>X13*Assumptions!$D$9</f>
        <v/>
      </c>
      <c r="Y26" s="10">
        <f>Y13*Assumptions!$D$9</f>
        <v/>
      </c>
      <c r="Z26" s="10">
        <f>Z13*Assumptions!$D$9</f>
        <v/>
      </c>
      <c r="AA26" s="10">
        <f>AA13*Assumptions!$D$9</f>
        <v/>
      </c>
      <c r="AB26" s="10">
        <f>AB13*Assumptions!$D$9</f>
        <v/>
      </c>
      <c r="AC26" s="10">
        <f>AC13*Assumptions!$D$9</f>
        <v/>
      </c>
      <c r="AD26" s="10">
        <f>AD13*Assumptions!$D$9</f>
        <v/>
      </c>
      <c r="AE26" s="10">
        <f>AE13*Assumptions!$D$9</f>
        <v/>
      </c>
      <c r="AF26" s="10">
        <f>AF13*Assumptions!$D$9</f>
        <v/>
      </c>
      <c r="AG26" s="10">
        <f>AG13*Assumptions!$D$9</f>
        <v/>
      </c>
      <c r="AH26" s="10">
        <f>AH13*Assumptions!$D$9</f>
        <v/>
      </c>
      <c r="AI26" s="10">
        <f>AI13*Assumptions!$D$9</f>
        <v/>
      </c>
      <c r="AJ26" s="10">
        <f>AJ13*Assumptions!$D$9</f>
        <v/>
      </c>
      <c r="AK26" s="10">
        <f>AK13*Assumptions!$D$9</f>
        <v/>
      </c>
      <c r="AL26" s="10">
        <f>AL13*Assumptions!$D$9</f>
        <v/>
      </c>
    </row>
    <row r="27">
      <c r="A27" s="6" t="inlineStr">
        <is>
          <t>Standby generators</t>
        </is>
      </c>
      <c r="B27" s="11" t="inlineStr">
        <is>
          <t>$</t>
        </is>
      </c>
      <c r="C27" s="10">
        <f>C14*Assumptions!$D$10</f>
        <v/>
      </c>
      <c r="D27" s="10">
        <f>D14*Assumptions!$D$10</f>
        <v/>
      </c>
      <c r="E27" s="10">
        <f>E14*Assumptions!$D$10</f>
        <v/>
      </c>
      <c r="F27" s="10">
        <f>F14*Assumptions!$D$10</f>
        <v/>
      </c>
      <c r="G27" s="10">
        <f>G14*Assumptions!$D$10</f>
        <v/>
      </c>
      <c r="H27" s="10">
        <f>H14*Assumptions!$D$10</f>
        <v/>
      </c>
      <c r="I27" s="10">
        <f>I14*Assumptions!$D$10</f>
        <v/>
      </c>
      <c r="J27" s="10">
        <f>J14*Assumptions!$D$10</f>
        <v/>
      </c>
      <c r="K27" s="10">
        <f>K14*Assumptions!$D$10</f>
        <v/>
      </c>
      <c r="L27" s="10">
        <f>L14*Assumptions!$D$10</f>
        <v/>
      </c>
      <c r="M27" s="10">
        <f>M14*Assumptions!$D$10</f>
        <v/>
      </c>
      <c r="N27" s="10">
        <f>N14*Assumptions!$D$10</f>
        <v/>
      </c>
      <c r="O27" s="10">
        <f>O14*Assumptions!$D$10</f>
        <v/>
      </c>
      <c r="P27" s="10">
        <f>P14*Assumptions!$D$10</f>
        <v/>
      </c>
      <c r="Q27" s="10">
        <f>Q14*Assumptions!$D$10</f>
        <v/>
      </c>
      <c r="R27" s="10">
        <f>R14*Assumptions!$D$10</f>
        <v/>
      </c>
      <c r="S27" s="10">
        <f>S14*Assumptions!$D$10</f>
        <v/>
      </c>
      <c r="T27" s="10">
        <f>T14*Assumptions!$D$10</f>
        <v/>
      </c>
      <c r="U27" s="10">
        <f>U14*Assumptions!$D$10</f>
        <v/>
      </c>
      <c r="V27" s="10">
        <f>V14*Assumptions!$D$10</f>
        <v/>
      </c>
      <c r="W27" s="10">
        <f>W14*Assumptions!$D$10</f>
        <v/>
      </c>
      <c r="X27" s="10">
        <f>X14*Assumptions!$D$10</f>
        <v/>
      </c>
      <c r="Y27" s="10">
        <f>Y14*Assumptions!$D$10</f>
        <v/>
      </c>
      <c r="Z27" s="10">
        <f>Z14*Assumptions!$D$10</f>
        <v/>
      </c>
      <c r="AA27" s="10">
        <f>AA14*Assumptions!$D$10</f>
        <v/>
      </c>
      <c r="AB27" s="10">
        <f>AB14*Assumptions!$D$10</f>
        <v/>
      </c>
      <c r="AC27" s="10">
        <f>AC14*Assumptions!$D$10</f>
        <v/>
      </c>
      <c r="AD27" s="10">
        <f>AD14*Assumptions!$D$10</f>
        <v/>
      </c>
      <c r="AE27" s="10">
        <f>AE14*Assumptions!$D$10</f>
        <v/>
      </c>
      <c r="AF27" s="10">
        <f>AF14*Assumptions!$D$10</f>
        <v/>
      </c>
      <c r="AG27" s="10">
        <f>AG14*Assumptions!$D$10</f>
        <v/>
      </c>
      <c r="AH27" s="10">
        <f>AH14*Assumptions!$D$10</f>
        <v/>
      </c>
      <c r="AI27" s="10">
        <f>AI14*Assumptions!$D$10</f>
        <v/>
      </c>
      <c r="AJ27" s="10">
        <f>AJ14*Assumptions!$D$10</f>
        <v/>
      </c>
      <c r="AK27" s="10">
        <f>AK14*Assumptions!$D$10</f>
        <v/>
      </c>
      <c r="AL27" s="10">
        <f>AL14*Assumptions!$D$10</f>
        <v/>
      </c>
    </row>
    <row r="28">
      <c r="A28" s="6" t="inlineStr">
        <is>
          <t>Generator inlets and interlocks</t>
        </is>
      </c>
      <c r="B28" s="11" t="inlineStr">
        <is>
          <t>$</t>
        </is>
      </c>
      <c r="C28" s="10">
        <f>C15*Assumptions!$D$11</f>
        <v/>
      </c>
      <c r="D28" s="10">
        <f>D15*Assumptions!$D$11</f>
        <v/>
      </c>
      <c r="E28" s="10">
        <f>E15*Assumptions!$D$11</f>
        <v/>
      </c>
      <c r="F28" s="10">
        <f>F15*Assumptions!$D$11</f>
        <v/>
      </c>
      <c r="G28" s="10">
        <f>G15*Assumptions!$D$11</f>
        <v/>
      </c>
      <c r="H28" s="10">
        <f>H15*Assumptions!$D$11</f>
        <v/>
      </c>
      <c r="I28" s="10">
        <f>I15*Assumptions!$D$11</f>
        <v/>
      </c>
      <c r="J28" s="10">
        <f>J15*Assumptions!$D$11</f>
        <v/>
      </c>
      <c r="K28" s="10">
        <f>K15*Assumptions!$D$11</f>
        <v/>
      </c>
      <c r="L28" s="10">
        <f>L15*Assumptions!$D$11</f>
        <v/>
      </c>
      <c r="M28" s="10">
        <f>M15*Assumptions!$D$11</f>
        <v/>
      </c>
      <c r="N28" s="10">
        <f>N15*Assumptions!$D$11</f>
        <v/>
      </c>
      <c r="O28" s="10">
        <f>O15*Assumptions!$D$11</f>
        <v/>
      </c>
      <c r="P28" s="10">
        <f>P15*Assumptions!$D$11</f>
        <v/>
      </c>
      <c r="Q28" s="10">
        <f>Q15*Assumptions!$D$11</f>
        <v/>
      </c>
      <c r="R28" s="10">
        <f>R15*Assumptions!$D$11</f>
        <v/>
      </c>
      <c r="S28" s="10">
        <f>S15*Assumptions!$D$11</f>
        <v/>
      </c>
      <c r="T28" s="10">
        <f>T15*Assumptions!$D$11</f>
        <v/>
      </c>
      <c r="U28" s="10">
        <f>U15*Assumptions!$D$11</f>
        <v/>
      </c>
      <c r="V28" s="10">
        <f>V15*Assumptions!$D$11</f>
        <v/>
      </c>
      <c r="W28" s="10">
        <f>W15*Assumptions!$D$11</f>
        <v/>
      </c>
      <c r="X28" s="10">
        <f>X15*Assumptions!$D$11</f>
        <v/>
      </c>
      <c r="Y28" s="10">
        <f>Y15*Assumptions!$D$11</f>
        <v/>
      </c>
      <c r="Z28" s="10">
        <f>Z15*Assumptions!$D$11</f>
        <v/>
      </c>
      <c r="AA28" s="10">
        <f>AA15*Assumptions!$D$11</f>
        <v/>
      </c>
      <c r="AB28" s="10">
        <f>AB15*Assumptions!$D$11</f>
        <v/>
      </c>
      <c r="AC28" s="10">
        <f>AC15*Assumptions!$D$11</f>
        <v/>
      </c>
      <c r="AD28" s="10">
        <f>AD15*Assumptions!$D$11</f>
        <v/>
      </c>
      <c r="AE28" s="10">
        <f>AE15*Assumptions!$D$11</f>
        <v/>
      </c>
      <c r="AF28" s="10">
        <f>AF15*Assumptions!$D$11</f>
        <v/>
      </c>
      <c r="AG28" s="10">
        <f>AG15*Assumptions!$D$11</f>
        <v/>
      </c>
      <c r="AH28" s="10">
        <f>AH15*Assumptions!$D$11</f>
        <v/>
      </c>
      <c r="AI28" s="10">
        <f>AI15*Assumptions!$D$11</f>
        <v/>
      </c>
      <c r="AJ28" s="10">
        <f>AJ15*Assumptions!$D$11</f>
        <v/>
      </c>
      <c r="AK28" s="10">
        <f>AK15*Assumptions!$D$11</f>
        <v/>
      </c>
      <c r="AL28" s="10">
        <f>AL15*Assumptions!$D$11</f>
        <v/>
      </c>
    </row>
    <row r="29">
      <c r="A29" s="6" t="inlineStr">
        <is>
          <t>Lighting and fans</t>
        </is>
      </c>
      <c r="B29" s="11" t="inlineStr">
        <is>
          <t>$</t>
        </is>
      </c>
      <c r="C29" s="10">
        <f>C16*Assumptions!$D$12</f>
        <v/>
      </c>
      <c r="D29" s="10">
        <f>D16*Assumptions!$D$12</f>
        <v/>
      </c>
      <c r="E29" s="10">
        <f>E16*Assumptions!$D$12</f>
        <v/>
      </c>
      <c r="F29" s="10">
        <f>F16*Assumptions!$D$12</f>
        <v/>
      </c>
      <c r="G29" s="10">
        <f>G16*Assumptions!$D$12</f>
        <v/>
      </c>
      <c r="H29" s="10">
        <f>H16*Assumptions!$D$12</f>
        <v/>
      </c>
      <c r="I29" s="10">
        <f>I16*Assumptions!$D$12</f>
        <v/>
      </c>
      <c r="J29" s="10">
        <f>J16*Assumptions!$D$12</f>
        <v/>
      </c>
      <c r="K29" s="10">
        <f>K16*Assumptions!$D$12</f>
        <v/>
      </c>
      <c r="L29" s="10">
        <f>L16*Assumptions!$D$12</f>
        <v/>
      </c>
      <c r="M29" s="10">
        <f>M16*Assumptions!$D$12</f>
        <v/>
      </c>
      <c r="N29" s="10">
        <f>N16*Assumptions!$D$12</f>
        <v/>
      </c>
      <c r="O29" s="10">
        <f>O16*Assumptions!$D$12</f>
        <v/>
      </c>
      <c r="P29" s="10">
        <f>P16*Assumptions!$D$12</f>
        <v/>
      </c>
      <c r="Q29" s="10">
        <f>Q16*Assumptions!$D$12</f>
        <v/>
      </c>
      <c r="R29" s="10">
        <f>R16*Assumptions!$D$12</f>
        <v/>
      </c>
      <c r="S29" s="10">
        <f>S16*Assumptions!$D$12</f>
        <v/>
      </c>
      <c r="T29" s="10">
        <f>T16*Assumptions!$D$12</f>
        <v/>
      </c>
      <c r="U29" s="10">
        <f>U16*Assumptions!$D$12</f>
        <v/>
      </c>
      <c r="V29" s="10">
        <f>V16*Assumptions!$D$12</f>
        <v/>
      </c>
      <c r="W29" s="10">
        <f>W16*Assumptions!$D$12</f>
        <v/>
      </c>
      <c r="X29" s="10">
        <f>X16*Assumptions!$D$12</f>
        <v/>
      </c>
      <c r="Y29" s="10">
        <f>Y16*Assumptions!$D$12</f>
        <v/>
      </c>
      <c r="Z29" s="10">
        <f>Z16*Assumptions!$D$12</f>
        <v/>
      </c>
      <c r="AA29" s="10">
        <f>AA16*Assumptions!$D$12</f>
        <v/>
      </c>
      <c r="AB29" s="10">
        <f>AB16*Assumptions!$D$12</f>
        <v/>
      </c>
      <c r="AC29" s="10">
        <f>AC16*Assumptions!$D$12</f>
        <v/>
      </c>
      <c r="AD29" s="10">
        <f>AD16*Assumptions!$D$12</f>
        <v/>
      </c>
      <c r="AE29" s="10">
        <f>AE16*Assumptions!$D$12</f>
        <v/>
      </c>
      <c r="AF29" s="10">
        <f>AF16*Assumptions!$D$12</f>
        <v/>
      </c>
      <c r="AG29" s="10">
        <f>AG16*Assumptions!$D$12</f>
        <v/>
      </c>
      <c r="AH29" s="10">
        <f>AH16*Assumptions!$D$12</f>
        <v/>
      </c>
      <c r="AI29" s="10">
        <f>AI16*Assumptions!$D$12</f>
        <v/>
      </c>
      <c r="AJ29" s="10">
        <f>AJ16*Assumptions!$D$12</f>
        <v/>
      </c>
      <c r="AK29" s="10">
        <f>AK16*Assumptions!$D$12</f>
        <v/>
      </c>
      <c r="AL29" s="10">
        <f>AL16*Assumptions!$D$12</f>
        <v/>
      </c>
    </row>
    <row r="30">
      <c r="A30" s="6" t="inlineStr">
        <is>
          <t>Remodel contracting</t>
        </is>
      </c>
      <c r="B30" s="11" t="inlineStr">
        <is>
          <t>$</t>
        </is>
      </c>
      <c r="C30" s="10">
        <f>C17*Assumptions!$D$13</f>
        <v/>
      </c>
      <c r="D30" s="10">
        <f>D17*Assumptions!$D$13</f>
        <v/>
      </c>
      <c r="E30" s="10">
        <f>E17*Assumptions!$D$13</f>
        <v/>
      </c>
      <c r="F30" s="10">
        <f>F17*Assumptions!$D$13</f>
        <v/>
      </c>
      <c r="G30" s="10">
        <f>G17*Assumptions!$D$13</f>
        <v/>
      </c>
      <c r="H30" s="10">
        <f>H17*Assumptions!$D$13</f>
        <v/>
      </c>
      <c r="I30" s="10">
        <f>I17*Assumptions!$D$13</f>
        <v/>
      </c>
      <c r="J30" s="10">
        <f>J17*Assumptions!$D$13</f>
        <v/>
      </c>
      <c r="K30" s="10">
        <f>K17*Assumptions!$D$13</f>
        <v/>
      </c>
      <c r="L30" s="10">
        <f>L17*Assumptions!$D$13</f>
        <v/>
      </c>
      <c r="M30" s="10">
        <f>M17*Assumptions!$D$13</f>
        <v/>
      </c>
      <c r="N30" s="10">
        <f>N17*Assumptions!$D$13</f>
        <v/>
      </c>
      <c r="O30" s="10">
        <f>O17*Assumptions!$D$13</f>
        <v/>
      </c>
      <c r="P30" s="10">
        <f>P17*Assumptions!$D$13</f>
        <v/>
      </c>
      <c r="Q30" s="10">
        <f>Q17*Assumptions!$D$13</f>
        <v/>
      </c>
      <c r="R30" s="10">
        <f>R17*Assumptions!$D$13</f>
        <v/>
      </c>
      <c r="S30" s="10">
        <f>S17*Assumptions!$D$13</f>
        <v/>
      </c>
      <c r="T30" s="10">
        <f>T17*Assumptions!$D$13</f>
        <v/>
      </c>
      <c r="U30" s="10">
        <f>U17*Assumptions!$D$13</f>
        <v/>
      </c>
      <c r="V30" s="10">
        <f>V17*Assumptions!$D$13</f>
        <v/>
      </c>
      <c r="W30" s="10">
        <f>W17*Assumptions!$D$13</f>
        <v/>
      </c>
      <c r="X30" s="10">
        <f>X17*Assumptions!$D$13</f>
        <v/>
      </c>
      <c r="Y30" s="10">
        <f>Y17*Assumptions!$D$13</f>
        <v/>
      </c>
      <c r="Z30" s="10">
        <f>Z17*Assumptions!$D$13</f>
        <v/>
      </c>
      <c r="AA30" s="10">
        <f>AA17*Assumptions!$D$13</f>
        <v/>
      </c>
      <c r="AB30" s="10">
        <f>AB17*Assumptions!$D$13</f>
        <v/>
      </c>
      <c r="AC30" s="10">
        <f>AC17*Assumptions!$D$13</f>
        <v/>
      </c>
      <c r="AD30" s="10">
        <f>AD17*Assumptions!$D$13</f>
        <v/>
      </c>
      <c r="AE30" s="10">
        <f>AE17*Assumptions!$D$13</f>
        <v/>
      </c>
      <c r="AF30" s="10">
        <f>AF17*Assumptions!$D$13</f>
        <v/>
      </c>
      <c r="AG30" s="10">
        <f>AG17*Assumptions!$D$13</f>
        <v/>
      </c>
      <c r="AH30" s="10">
        <f>AH17*Assumptions!$D$13</f>
        <v/>
      </c>
      <c r="AI30" s="10">
        <f>AI17*Assumptions!$D$13</f>
        <v/>
      </c>
      <c r="AJ30" s="10">
        <f>AJ17*Assumptions!$D$13</f>
        <v/>
      </c>
      <c r="AK30" s="10">
        <f>AK17*Assumptions!$D$13</f>
        <v/>
      </c>
      <c r="AL30" s="10">
        <f>AL17*Assumptions!$D$13</f>
        <v/>
      </c>
    </row>
    <row r="31">
      <c r="A31" s="6" t="inlineStr">
        <is>
          <t>On journeyman revenue</t>
        </is>
      </c>
      <c r="B31" s="11" t="inlineStr">
        <is>
          <t>$</t>
        </is>
      </c>
      <c r="C31" s="10">
        <f>(C18+C19)*Assumptions!$B$22</f>
        <v/>
      </c>
      <c r="D31" s="10">
        <f>(D18+D19)*Assumptions!$B$22</f>
        <v/>
      </c>
      <c r="E31" s="10">
        <f>(E18+E19)*Assumptions!$B$22</f>
        <v/>
      </c>
      <c r="F31" s="10">
        <f>(F18+F19)*Assumptions!$B$22</f>
        <v/>
      </c>
      <c r="G31" s="10">
        <f>(G18+G19)*Assumptions!$B$22</f>
        <v/>
      </c>
      <c r="H31" s="10">
        <f>(H18+H19)*Assumptions!$B$22</f>
        <v/>
      </c>
      <c r="I31" s="10">
        <f>(I18+I19)*Assumptions!$B$22</f>
        <v/>
      </c>
      <c r="J31" s="10">
        <f>(J18+J19)*Assumptions!$B$22</f>
        <v/>
      </c>
      <c r="K31" s="10">
        <f>(K18+K19)*Assumptions!$B$22</f>
        <v/>
      </c>
      <c r="L31" s="10">
        <f>(L18+L19)*Assumptions!$B$22</f>
        <v/>
      </c>
      <c r="M31" s="10">
        <f>(M18+M19)*Assumptions!$B$22</f>
        <v/>
      </c>
      <c r="N31" s="10">
        <f>(N18+N19)*Assumptions!$B$22</f>
        <v/>
      </c>
      <c r="O31" s="10">
        <f>(O18+O19)*Assumptions!$B$22</f>
        <v/>
      </c>
      <c r="P31" s="10">
        <f>(P18+P19)*Assumptions!$B$22</f>
        <v/>
      </c>
      <c r="Q31" s="10">
        <f>(Q18+Q19)*Assumptions!$B$22</f>
        <v/>
      </c>
      <c r="R31" s="10">
        <f>(R18+R19)*Assumptions!$B$22</f>
        <v/>
      </c>
      <c r="S31" s="10">
        <f>(S18+S19)*Assumptions!$B$22</f>
        <v/>
      </c>
      <c r="T31" s="10">
        <f>(T18+T19)*Assumptions!$B$22</f>
        <v/>
      </c>
      <c r="U31" s="10">
        <f>(U18+U19)*Assumptions!$B$22</f>
        <v/>
      </c>
      <c r="V31" s="10">
        <f>(V18+V19)*Assumptions!$B$22</f>
        <v/>
      </c>
      <c r="W31" s="10">
        <f>(W18+W19)*Assumptions!$B$22</f>
        <v/>
      </c>
      <c r="X31" s="10">
        <f>(X18+X19)*Assumptions!$B$22</f>
        <v/>
      </c>
      <c r="Y31" s="10">
        <f>(Y18+Y19)*Assumptions!$B$22</f>
        <v/>
      </c>
      <c r="Z31" s="10">
        <f>(Z18+Z19)*Assumptions!$B$22</f>
        <v/>
      </c>
      <c r="AA31" s="10">
        <f>(AA18+AA19)*Assumptions!$B$22</f>
        <v/>
      </c>
      <c r="AB31" s="10">
        <f>(AB18+AB19)*Assumptions!$B$22</f>
        <v/>
      </c>
      <c r="AC31" s="10">
        <f>(AC18+AC19)*Assumptions!$B$22</f>
        <v/>
      </c>
      <c r="AD31" s="10">
        <f>(AD18+AD19)*Assumptions!$B$22</f>
        <v/>
      </c>
      <c r="AE31" s="10">
        <f>(AE18+AE19)*Assumptions!$B$22</f>
        <v/>
      </c>
      <c r="AF31" s="10">
        <f>(AF18+AF19)*Assumptions!$B$22</f>
        <v/>
      </c>
      <c r="AG31" s="10">
        <f>(AG18+AG19)*Assumptions!$B$22</f>
        <v/>
      </c>
      <c r="AH31" s="10">
        <f>(AH18+AH19)*Assumptions!$B$22</f>
        <v/>
      </c>
      <c r="AI31" s="10">
        <f>(AI18+AI19)*Assumptions!$B$22</f>
        <v/>
      </c>
      <c r="AJ31" s="10">
        <f>(AJ18+AJ19)*Assumptions!$B$22</f>
        <v/>
      </c>
      <c r="AK31" s="10">
        <f>(AK18+AK19)*Assumptions!$B$22</f>
        <v/>
      </c>
      <c r="AL31" s="10">
        <f>(AL18+AL19)*Assumptions!$B$22</f>
        <v/>
      </c>
    </row>
    <row r="32">
      <c r="A32" s="12" t="inlineStr">
        <is>
          <t>Total materials, equipment and subs</t>
        </is>
      </c>
      <c r="B32" s="11" t="inlineStr">
        <is>
          <t>$</t>
        </is>
      </c>
      <c r="C32" s="27">
        <f>SUM(C24:C31)</f>
        <v/>
      </c>
      <c r="D32" s="27">
        <f>SUM(D24:D31)</f>
        <v/>
      </c>
      <c r="E32" s="27">
        <f>SUM(E24:E31)</f>
        <v/>
      </c>
      <c r="F32" s="27">
        <f>SUM(F24:F31)</f>
        <v/>
      </c>
      <c r="G32" s="27">
        <f>SUM(G24:G31)</f>
        <v/>
      </c>
      <c r="H32" s="27">
        <f>SUM(H24:H31)</f>
        <v/>
      </c>
      <c r="I32" s="27">
        <f>SUM(I24:I31)</f>
        <v/>
      </c>
      <c r="J32" s="27">
        <f>SUM(J24:J31)</f>
        <v/>
      </c>
      <c r="K32" s="27">
        <f>SUM(K24:K31)</f>
        <v/>
      </c>
      <c r="L32" s="27">
        <f>SUM(L24:L31)</f>
        <v/>
      </c>
      <c r="M32" s="27">
        <f>SUM(M24:M31)</f>
        <v/>
      </c>
      <c r="N32" s="27">
        <f>SUM(N24:N31)</f>
        <v/>
      </c>
      <c r="O32" s="27">
        <f>SUM(O24:O31)</f>
        <v/>
      </c>
      <c r="P32" s="27">
        <f>SUM(P24:P31)</f>
        <v/>
      </c>
      <c r="Q32" s="27">
        <f>SUM(Q24:Q31)</f>
        <v/>
      </c>
      <c r="R32" s="27">
        <f>SUM(R24:R31)</f>
        <v/>
      </c>
      <c r="S32" s="27">
        <f>SUM(S24:S31)</f>
        <v/>
      </c>
      <c r="T32" s="27">
        <f>SUM(T24:T31)</f>
        <v/>
      </c>
      <c r="U32" s="27">
        <f>SUM(U24:U31)</f>
        <v/>
      </c>
      <c r="V32" s="27">
        <f>SUM(V24:V31)</f>
        <v/>
      </c>
      <c r="W32" s="27">
        <f>SUM(W24:W31)</f>
        <v/>
      </c>
      <c r="X32" s="27">
        <f>SUM(X24:X31)</f>
        <v/>
      </c>
      <c r="Y32" s="27">
        <f>SUM(Y24:Y31)</f>
        <v/>
      </c>
      <c r="Z32" s="27">
        <f>SUM(Z24:Z31)</f>
        <v/>
      </c>
      <c r="AA32" s="27">
        <f>SUM(AA24:AA31)</f>
        <v/>
      </c>
      <c r="AB32" s="27">
        <f>SUM(AB24:AB31)</f>
        <v/>
      </c>
      <c r="AC32" s="27">
        <f>SUM(AC24:AC31)</f>
        <v/>
      </c>
      <c r="AD32" s="27">
        <f>SUM(AD24:AD31)</f>
        <v/>
      </c>
      <c r="AE32" s="27">
        <f>SUM(AE24:AE31)</f>
        <v/>
      </c>
      <c r="AF32" s="27">
        <f>SUM(AF24:AF31)</f>
        <v/>
      </c>
      <c r="AG32" s="27">
        <f>SUM(AG24:AG31)</f>
        <v/>
      </c>
      <c r="AH32" s="27">
        <f>SUM(AH24:AH31)</f>
        <v/>
      </c>
      <c r="AI32" s="27">
        <f>SUM(AI24:AI31)</f>
        <v/>
      </c>
      <c r="AJ32" s="27">
        <f>SUM(AJ24:AJ31)</f>
        <v/>
      </c>
      <c r="AK32" s="27">
        <f>SUM(AK24:AK31)</f>
        <v/>
      </c>
      <c r="AL32" s="27">
        <f>SUM(AL24:AL31)</f>
        <v/>
      </c>
    </row>
    <row r="33">
      <c r="A33" s="12" t="inlineStr">
        <is>
          <t>Gross profit after materials</t>
        </is>
      </c>
      <c r="B33" s="11" t="inlineStr">
        <is>
          <t>$</t>
        </is>
      </c>
      <c r="C33" s="15">
        <f>C20-C32</f>
        <v/>
      </c>
      <c r="D33" s="15">
        <f>D20-D32</f>
        <v/>
      </c>
      <c r="E33" s="15">
        <f>E20-E32</f>
        <v/>
      </c>
      <c r="F33" s="15">
        <f>F20-F32</f>
        <v/>
      </c>
      <c r="G33" s="15">
        <f>G20-G32</f>
        <v/>
      </c>
      <c r="H33" s="15">
        <f>H20-H32</f>
        <v/>
      </c>
      <c r="I33" s="15">
        <f>I20-I32</f>
        <v/>
      </c>
      <c r="J33" s="15">
        <f>J20-J32</f>
        <v/>
      </c>
      <c r="K33" s="15">
        <f>K20-K32</f>
        <v/>
      </c>
      <c r="L33" s="15">
        <f>L20-L32</f>
        <v/>
      </c>
      <c r="M33" s="15">
        <f>M20-M32</f>
        <v/>
      </c>
      <c r="N33" s="15">
        <f>N20-N32</f>
        <v/>
      </c>
      <c r="O33" s="15">
        <f>O20-O32</f>
        <v/>
      </c>
      <c r="P33" s="15">
        <f>P20-P32</f>
        <v/>
      </c>
      <c r="Q33" s="15">
        <f>Q20-Q32</f>
        <v/>
      </c>
      <c r="R33" s="15">
        <f>R20-R32</f>
        <v/>
      </c>
      <c r="S33" s="15">
        <f>S20-S32</f>
        <v/>
      </c>
      <c r="T33" s="15">
        <f>T20-T32</f>
        <v/>
      </c>
      <c r="U33" s="15">
        <f>U20-U32</f>
        <v/>
      </c>
      <c r="V33" s="15">
        <f>V20-V32</f>
        <v/>
      </c>
      <c r="W33" s="15">
        <f>W20-W32</f>
        <v/>
      </c>
      <c r="X33" s="15">
        <f>X20-X32</f>
        <v/>
      </c>
      <c r="Y33" s="15">
        <f>Y20-Y32</f>
        <v/>
      </c>
      <c r="Z33" s="15">
        <f>Z20-Z32</f>
        <v/>
      </c>
      <c r="AA33" s="15">
        <f>AA20-AA32</f>
        <v/>
      </c>
      <c r="AB33" s="15">
        <f>AB20-AB32</f>
        <v/>
      </c>
      <c r="AC33" s="15">
        <f>AC20-AC32</f>
        <v/>
      </c>
      <c r="AD33" s="15">
        <f>AD20-AD32</f>
        <v/>
      </c>
      <c r="AE33" s="15">
        <f>AE20-AE32</f>
        <v/>
      </c>
      <c r="AF33" s="15">
        <f>AF20-AF32</f>
        <v/>
      </c>
      <c r="AG33" s="15">
        <f>AG20-AG32</f>
        <v/>
      </c>
      <c r="AH33" s="15">
        <f>AH20-AH32</f>
        <v/>
      </c>
      <c r="AI33" s="15">
        <f>AI20-AI32</f>
        <v/>
      </c>
      <c r="AJ33" s="15">
        <f>AJ20-AJ32</f>
        <v/>
      </c>
      <c r="AK33" s="15">
        <f>AK20-AK32</f>
        <v/>
      </c>
      <c r="AL33" s="15">
        <f>AL20-AL32</f>
        <v/>
      </c>
    </row>
    <row r="34">
      <c r="A34" s="6" t="inlineStr">
        <is>
          <t>Gross margin after materials</t>
        </is>
      </c>
      <c r="B34" s="11" t="inlineStr">
        <is>
          <t>%</t>
        </is>
      </c>
      <c r="C34" s="14">
        <f>IF(C20=0,0,C33/C20)</f>
        <v/>
      </c>
      <c r="D34" s="14">
        <f>IF(D20=0,0,D33/D20)</f>
        <v/>
      </c>
      <c r="E34" s="14">
        <f>IF(E20=0,0,E33/E20)</f>
        <v/>
      </c>
      <c r="F34" s="14">
        <f>IF(F20=0,0,F33/F20)</f>
        <v/>
      </c>
      <c r="G34" s="14">
        <f>IF(G20=0,0,G33/G20)</f>
        <v/>
      </c>
      <c r="H34" s="14">
        <f>IF(H20=0,0,H33/H20)</f>
        <v/>
      </c>
      <c r="I34" s="14">
        <f>IF(I20=0,0,I33/I20)</f>
        <v/>
      </c>
      <c r="J34" s="14">
        <f>IF(J20=0,0,J33/J20)</f>
        <v/>
      </c>
      <c r="K34" s="14">
        <f>IF(K20=0,0,K33/K20)</f>
        <v/>
      </c>
      <c r="L34" s="14">
        <f>IF(L20=0,0,L33/L20)</f>
        <v/>
      </c>
      <c r="M34" s="14">
        <f>IF(M20=0,0,M33/M20)</f>
        <v/>
      </c>
      <c r="N34" s="14">
        <f>IF(N20=0,0,N33/N20)</f>
        <v/>
      </c>
      <c r="O34" s="14">
        <f>IF(O20=0,0,O33/O20)</f>
        <v/>
      </c>
      <c r="P34" s="14">
        <f>IF(P20=0,0,P33/P20)</f>
        <v/>
      </c>
      <c r="Q34" s="14">
        <f>IF(Q20=0,0,Q33/Q20)</f>
        <v/>
      </c>
      <c r="R34" s="14">
        <f>IF(R20=0,0,R33/R20)</f>
        <v/>
      </c>
      <c r="S34" s="14">
        <f>IF(S20=0,0,S33/S20)</f>
        <v/>
      </c>
      <c r="T34" s="14">
        <f>IF(T20=0,0,T33/T20)</f>
        <v/>
      </c>
      <c r="U34" s="14">
        <f>IF(U20=0,0,U33/U20)</f>
        <v/>
      </c>
      <c r="V34" s="14">
        <f>IF(V20=0,0,V33/V20)</f>
        <v/>
      </c>
      <c r="W34" s="14">
        <f>IF(W20=0,0,W33/W20)</f>
        <v/>
      </c>
      <c r="X34" s="14">
        <f>IF(X20=0,0,X33/X20)</f>
        <v/>
      </c>
      <c r="Y34" s="14">
        <f>IF(Y20=0,0,Y33/Y20)</f>
        <v/>
      </c>
      <c r="Z34" s="14">
        <f>IF(Z20=0,0,Z33/Z20)</f>
        <v/>
      </c>
      <c r="AA34" s="14">
        <f>IF(AA20=0,0,AA33/AA20)</f>
        <v/>
      </c>
      <c r="AB34" s="14">
        <f>IF(AB20=0,0,AB33/AB20)</f>
        <v/>
      </c>
      <c r="AC34" s="14">
        <f>IF(AC20=0,0,AC33/AC20)</f>
        <v/>
      </c>
      <c r="AD34" s="14">
        <f>IF(AD20=0,0,AD33/AD20)</f>
        <v/>
      </c>
      <c r="AE34" s="14">
        <f>IF(AE20=0,0,AE33/AE20)</f>
        <v/>
      </c>
      <c r="AF34" s="14">
        <f>IF(AF20=0,0,AF33/AF20)</f>
        <v/>
      </c>
      <c r="AG34" s="14">
        <f>IF(AG20=0,0,AG33/AG20)</f>
        <v/>
      </c>
      <c r="AH34" s="14">
        <f>IF(AH20=0,0,AH33/AH20)</f>
        <v/>
      </c>
      <c r="AI34" s="14">
        <f>IF(AI20=0,0,AI33/AI20)</f>
        <v/>
      </c>
      <c r="AJ34" s="14">
        <f>IF(AJ20=0,0,AJ33/AJ20)</f>
        <v/>
      </c>
      <c r="AK34" s="14">
        <f>IF(AK20=0,0,AK33/AK20)</f>
        <v/>
      </c>
      <c r="AL34" s="14">
        <f>IF(AL20=0,0,AL33/AL20)</f>
        <v/>
      </c>
    </row>
    <row r="36">
      <c r="A36" s="12" t="inlineStr">
        <is>
          <t>Field labor (wages plus burden)</t>
        </is>
      </c>
    </row>
    <row r="37">
      <c r="A37" s="6" t="inlineStr">
        <is>
          <t>Apprentice</t>
        </is>
      </c>
      <c r="B37" s="11" t="inlineStr">
        <is>
          <t>$</t>
        </is>
      </c>
      <c r="C37" s="10">
        <f>IF(C$4&lt;Assumptions!$C$33,0,Assumptions!$B$33*Assumptions!$D$33*(1+Assumptions!$E$33)*(1+Assumptions!$F$33)^(C$3-1))</f>
        <v/>
      </c>
      <c r="D37" s="10">
        <f>IF(D$4&lt;Assumptions!$C$33,0,Assumptions!$B$33*Assumptions!$D$33*(1+Assumptions!$E$33)*(1+Assumptions!$F$33)^(D$3-1))</f>
        <v/>
      </c>
      <c r="E37" s="10">
        <f>IF(E$4&lt;Assumptions!$C$33,0,Assumptions!$B$33*Assumptions!$D$33*(1+Assumptions!$E$33)*(1+Assumptions!$F$33)^(E$3-1))</f>
        <v/>
      </c>
      <c r="F37" s="10">
        <f>IF(F$4&lt;Assumptions!$C$33,0,Assumptions!$B$33*Assumptions!$D$33*(1+Assumptions!$E$33)*(1+Assumptions!$F$33)^(F$3-1))</f>
        <v/>
      </c>
      <c r="G37" s="10">
        <f>IF(G$4&lt;Assumptions!$C$33,0,Assumptions!$B$33*Assumptions!$D$33*(1+Assumptions!$E$33)*(1+Assumptions!$F$33)^(G$3-1))</f>
        <v/>
      </c>
      <c r="H37" s="10">
        <f>IF(H$4&lt;Assumptions!$C$33,0,Assumptions!$B$33*Assumptions!$D$33*(1+Assumptions!$E$33)*(1+Assumptions!$F$33)^(H$3-1))</f>
        <v/>
      </c>
      <c r="I37" s="10">
        <f>IF(I$4&lt;Assumptions!$C$33,0,Assumptions!$B$33*Assumptions!$D$33*(1+Assumptions!$E$33)*(1+Assumptions!$F$33)^(I$3-1))</f>
        <v/>
      </c>
      <c r="J37" s="10">
        <f>IF(J$4&lt;Assumptions!$C$33,0,Assumptions!$B$33*Assumptions!$D$33*(1+Assumptions!$E$33)*(1+Assumptions!$F$33)^(J$3-1))</f>
        <v/>
      </c>
      <c r="K37" s="10">
        <f>IF(K$4&lt;Assumptions!$C$33,0,Assumptions!$B$33*Assumptions!$D$33*(1+Assumptions!$E$33)*(1+Assumptions!$F$33)^(K$3-1))</f>
        <v/>
      </c>
      <c r="L37" s="10">
        <f>IF(L$4&lt;Assumptions!$C$33,0,Assumptions!$B$33*Assumptions!$D$33*(1+Assumptions!$E$33)*(1+Assumptions!$F$33)^(L$3-1))</f>
        <v/>
      </c>
      <c r="M37" s="10">
        <f>IF(M$4&lt;Assumptions!$C$33,0,Assumptions!$B$33*Assumptions!$D$33*(1+Assumptions!$E$33)*(1+Assumptions!$F$33)^(M$3-1))</f>
        <v/>
      </c>
      <c r="N37" s="10">
        <f>IF(N$4&lt;Assumptions!$C$33,0,Assumptions!$B$33*Assumptions!$D$33*(1+Assumptions!$E$33)*(1+Assumptions!$F$33)^(N$3-1))</f>
        <v/>
      </c>
      <c r="O37" s="10">
        <f>IF(O$4&lt;Assumptions!$C$33,0,Assumptions!$B$33*Assumptions!$D$33*(1+Assumptions!$E$33)*(1+Assumptions!$F$33)^(O$3-1))</f>
        <v/>
      </c>
      <c r="P37" s="10">
        <f>IF(P$4&lt;Assumptions!$C$33,0,Assumptions!$B$33*Assumptions!$D$33*(1+Assumptions!$E$33)*(1+Assumptions!$F$33)^(P$3-1))</f>
        <v/>
      </c>
      <c r="Q37" s="10">
        <f>IF(Q$4&lt;Assumptions!$C$33,0,Assumptions!$B$33*Assumptions!$D$33*(1+Assumptions!$E$33)*(1+Assumptions!$F$33)^(Q$3-1))</f>
        <v/>
      </c>
      <c r="R37" s="10">
        <f>IF(R$4&lt;Assumptions!$C$33,0,Assumptions!$B$33*Assumptions!$D$33*(1+Assumptions!$E$33)*(1+Assumptions!$F$33)^(R$3-1))</f>
        <v/>
      </c>
      <c r="S37" s="10">
        <f>IF(S$4&lt;Assumptions!$C$33,0,Assumptions!$B$33*Assumptions!$D$33*(1+Assumptions!$E$33)*(1+Assumptions!$F$33)^(S$3-1))</f>
        <v/>
      </c>
      <c r="T37" s="10">
        <f>IF(T$4&lt;Assumptions!$C$33,0,Assumptions!$B$33*Assumptions!$D$33*(1+Assumptions!$E$33)*(1+Assumptions!$F$33)^(T$3-1))</f>
        <v/>
      </c>
      <c r="U37" s="10">
        <f>IF(U$4&lt;Assumptions!$C$33,0,Assumptions!$B$33*Assumptions!$D$33*(1+Assumptions!$E$33)*(1+Assumptions!$F$33)^(U$3-1))</f>
        <v/>
      </c>
      <c r="V37" s="10">
        <f>IF(V$4&lt;Assumptions!$C$33,0,Assumptions!$B$33*Assumptions!$D$33*(1+Assumptions!$E$33)*(1+Assumptions!$F$33)^(V$3-1))</f>
        <v/>
      </c>
      <c r="W37" s="10">
        <f>IF(W$4&lt;Assumptions!$C$33,0,Assumptions!$B$33*Assumptions!$D$33*(1+Assumptions!$E$33)*(1+Assumptions!$F$33)^(W$3-1))</f>
        <v/>
      </c>
      <c r="X37" s="10">
        <f>IF(X$4&lt;Assumptions!$C$33,0,Assumptions!$B$33*Assumptions!$D$33*(1+Assumptions!$E$33)*(1+Assumptions!$F$33)^(X$3-1))</f>
        <v/>
      </c>
      <c r="Y37" s="10">
        <f>IF(Y$4&lt;Assumptions!$C$33,0,Assumptions!$B$33*Assumptions!$D$33*(1+Assumptions!$E$33)*(1+Assumptions!$F$33)^(Y$3-1))</f>
        <v/>
      </c>
      <c r="Z37" s="10">
        <f>IF(Z$4&lt;Assumptions!$C$33,0,Assumptions!$B$33*Assumptions!$D$33*(1+Assumptions!$E$33)*(1+Assumptions!$F$33)^(Z$3-1))</f>
        <v/>
      </c>
      <c r="AA37" s="10">
        <f>IF(AA$4&lt;Assumptions!$C$33,0,Assumptions!$B$33*Assumptions!$D$33*(1+Assumptions!$E$33)*(1+Assumptions!$F$33)^(AA$3-1))</f>
        <v/>
      </c>
      <c r="AB37" s="10">
        <f>IF(AB$4&lt;Assumptions!$C$33,0,Assumptions!$B$33*Assumptions!$D$33*(1+Assumptions!$E$33)*(1+Assumptions!$F$33)^(AB$3-1))</f>
        <v/>
      </c>
      <c r="AC37" s="10">
        <f>IF(AC$4&lt;Assumptions!$C$33,0,Assumptions!$B$33*Assumptions!$D$33*(1+Assumptions!$E$33)*(1+Assumptions!$F$33)^(AC$3-1))</f>
        <v/>
      </c>
      <c r="AD37" s="10">
        <f>IF(AD$4&lt;Assumptions!$C$33,0,Assumptions!$B$33*Assumptions!$D$33*(1+Assumptions!$E$33)*(1+Assumptions!$F$33)^(AD$3-1))</f>
        <v/>
      </c>
      <c r="AE37" s="10">
        <f>IF(AE$4&lt;Assumptions!$C$33,0,Assumptions!$B$33*Assumptions!$D$33*(1+Assumptions!$E$33)*(1+Assumptions!$F$33)^(AE$3-1))</f>
        <v/>
      </c>
      <c r="AF37" s="10">
        <f>IF(AF$4&lt;Assumptions!$C$33,0,Assumptions!$B$33*Assumptions!$D$33*(1+Assumptions!$E$33)*(1+Assumptions!$F$33)^(AF$3-1))</f>
        <v/>
      </c>
      <c r="AG37" s="10">
        <f>IF(AG$4&lt;Assumptions!$C$33,0,Assumptions!$B$33*Assumptions!$D$33*(1+Assumptions!$E$33)*(1+Assumptions!$F$33)^(AG$3-1))</f>
        <v/>
      </c>
      <c r="AH37" s="10">
        <f>IF(AH$4&lt;Assumptions!$C$33,0,Assumptions!$B$33*Assumptions!$D$33*(1+Assumptions!$E$33)*(1+Assumptions!$F$33)^(AH$3-1))</f>
        <v/>
      </c>
      <c r="AI37" s="10">
        <f>IF(AI$4&lt;Assumptions!$C$33,0,Assumptions!$B$33*Assumptions!$D$33*(1+Assumptions!$E$33)*(1+Assumptions!$F$33)^(AI$3-1))</f>
        <v/>
      </c>
      <c r="AJ37" s="10">
        <f>IF(AJ$4&lt;Assumptions!$C$33,0,Assumptions!$B$33*Assumptions!$D$33*(1+Assumptions!$E$33)*(1+Assumptions!$F$33)^(AJ$3-1))</f>
        <v/>
      </c>
      <c r="AK37" s="10">
        <f>IF(AK$4&lt;Assumptions!$C$33,0,Assumptions!$B$33*Assumptions!$D$33*(1+Assumptions!$E$33)*(1+Assumptions!$F$33)^(AK$3-1))</f>
        <v/>
      </c>
      <c r="AL37" s="10">
        <f>IF(AL$4&lt;Assumptions!$C$33,0,Assumptions!$B$33*Assumptions!$D$33*(1+Assumptions!$E$33)*(1+Assumptions!$F$33)^(AL$3-1))</f>
        <v/>
      </c>
    </row>
    <row r="38">
      <c r="A38" s="6" t="inlineStr">
        <is>
          <t>Journeyman 1</t>
        </is>
      </c>
      <c r="B38" s="11" t="inlineStr">
        <is>
          <t>$</t>
        </is>
      </c>
      <c r="C38" s="10">
        <f>IF(C$4&lt;Assumptions!$C$34,0,Assumptions!$B$34*Assumptions!$D$34*(1+Assumptions!$E$34)*(1+Assumptions!$F$34)^(C$3-1))</f>
        <v/>
      </c>
      <c r="D38" s="10">
        <f>IF(D$4&lt;Assumptions!$C$34,0,Assumptions!$B$34*Assumptions!$D$34*(1+Assumptions!$E$34)*(1+Assumptions!$F$34)^(D$3-1))</f>
        <v/>
      </c>
      <c r="E38" s="10">
        <f>IF(E$4&lt;Assumptions!$C$34,0,Assumptions!$B$34*Assumptions!$D$34*(1+Assumptions!$E$34)*(1+Assumptions!$F$34)^(E$3-1))</f>
        <v/>
      </c>
      <c r="F38" s="10">
        <f>IF(F$4&lt;Assumptions!$C$34,0,Assumptions!$B$34*Assumptions!$D$34*(1+Assumptions!$E$34)*(1+Assumptions!$F$34)^(F$3-1))</f>
        <v/>
      </c>
      <c r="G38" s="10">
        <f>IF(G$4&lt;Assumptions!$C$34,0,Assumptions!$B$34*Assumptions!$D$34*(1+Assumptions!$E$34)*(1+Assumptions!$F$34)^(G$3-1))</f>
        <v/>
      </c>
      <c r="H38" s="10">
        <f>IF(H$4&lt;Assumptions!$C$34,0,Assumptions!$B$34*Assumptions!$D$34*(1+Assumptions!$E$34)*(1+Assumptions!$F$34)^(H$3-1))</f>
        <v/>
      </c>
      <c r="I38" s="10">
        <f>IF(I$4&lt;Assumptions!$C$34,0,Assumptions!$B$34*Assumptions!$D$34*(1+Assumptions!$E$34)*(1+Assumptions!$F$34)^(I$3-1))</f>
        <v/>
      </c>
      <c r="J38" s="10">
        <f>IF(J$4&lt;Assumptions!$C$34,0,Assumptions!$B$34*Assumptions!$D$34*(1+Assumptions!$E$34)*(1+Assumptions!$F$34)^(J$3-1))</f>
        <v/>
      </c>
      <c r="K38" s="10">
        <f>IF(K$4&lt;Assumptions!$C$34,0,Assumptions!$B$34*Assumptions!$D$34*(1+Assumptions!$E$34)*(1+Assumptions!$F$34)^(K$3-1))</f>
        <v/>
      </c>
      <c r="L38" s="10">
        <f>IF(L$4&lt;Assumptions!$C$34,0,Assumptions!$B$34*Assumptions!$D$34*(1+Assumptions!$E$34)*(1+Assumptions!$F$34)^(L$3-1))</f>
        <v/>
      </c>
      <c r="M38" s="10">
        <f>IF(M$4&lt;Assumptions!$C$34,0,Assumptions!$B$34*Assumptions!$D$34*(1+Assumptions!$E$34)*(1+Assumptions!$F$34)^(M$3-1))</f>
        <v/>
      </c>
      <c r="N38" s="10">
        <f>IF(N$4&lt;Assumptions!$C$34,0,Assumptions!$B$34*Assumptions!$D$34*(1+Assumptions!$E$34)*(1+Assumptions!$F$34)^(N$3-1))</f>
        <v/>
      </c>
      <c r="O38" s="10">
        <f>IF(O$4&lt;Assumptions!$C$34,0,Assumptions!$B$34*Assumptions!$D$34*(1+Assumptions!$E$34)*(1+Assumptions!$F$34)^(O$3-1))</f>
        <v/>
      </c>
      <c r="P38" s="10">
        <f>IF(P$4&lt;Assumptions!$C$34,0,Assumptions!$B$34*Assumptions!$D$34*(1+Assumptions!$E$34)*(1+Assumptions!$F$34)^(P$3-1))</f>
        <v/>
      </c>
      <c r="Q38" s="10">
        <f>IF(Q$4&lt;Assumptions!$C$34,0,Assumptions!$B$34*Assumptions!$D$34*(1+Assumptions!$E$34)*(1+Assumptions!$F$34)^(Q$3-1))</f>
        <v/>
      </c>
      <c r="R38" s="10">
        <f>IF(R$4&lt;Assumptions!$C$34,0,Assumptions!$B$34*Assumptions!$D$34*(1+Assumptions!$E$34)*(1+Assumptions!$F$34)^(R$3-1))</f>
        <v/>
      </c>
      <c r="S38" s="10">
        <f>IF(S$4&lt;Assumptions!$C$34,0,Assumptions!$B$34*Assumptions!$D$34*(1+Assumptions!$E$34)*(1+Assumptions!$F$34)^(S$3-1))</f>
        <v/>
      </c>
      <c r="T38" s="10">
        <f>IF(T$4&lt;Assumptions!$C$34,0,Assumptions!$B$34*Assumptions!$D$34*(1+Assumptions!$E$34)*(1+Assumptions!$F$34)^(T$3-1))</f>
        <v/>
      </c>
      <c r="U38" s="10">
        <f>IF(U$4&lt;Assumptions!$C$34,0,Assumptions!$B$34*Assumptions!$D$34*(1+Assumptions!$E$34)*(1+Assumptions!$F$34)^(U$3-1))</f>
        <v/>
      </c>
      <c r="V38" s="10">
        <f>IF(V$4&lt;Assumptions!$C$34,0,Assumptions!$B$34*Assumptions!$D$34*(1+Assumptions!$E$34)*(1+Assumptions!$F$34)^(V$3-1))</f>
        <v/>
      </c>
      <c r="W38" s="10">
        <f>IF(W$4&lt;Assumptions!$C$34,0,Assumptions!$B$34*Assumptions!$D$34*(1+Assumptions!$E$34)*(1+Assumptions!$F$34)^(W$3-1))</f>
        <v/>
      </c>
      <c r="X38" s="10">
        <f>IF(X$4&lt;Assumptions!$C$34,0,Assumptions!$B$34*Assumptions!$D$34*(1+Assumptions!$E$34)*(1+Assumptions!$F$34)^(X$3-1))</f>
        <v/>
      </c>
      <c r="Y38" s="10">
        <f>IF(Y$4&lt;Assumptions!$C$34,0,Assumptions!$B$34*Assumptions!$D$34*(1+Assumptions!$E$34)*(1+Assumptions!$F$34)^(Y$3-1))</f>
        <v/>
      </c>
      <c r="Z38" s="10">
        <f>IF(Z$4&lt;Assumptions!$C$34,0,Assumptions!$B$34*Assumptions!$D$34*(1+Assumptions!$E$34)*(1+Assumptions!$F$34)^(Z$3-1))</f>
        <v/>
      </c>
      <c r="AA38" s="10">
        <f>IF(AA$4&lt;Assumptions!$C$34,0,Assumptions!$B$34*Assumptions!$D$34*(1+Assumptions!$E$34)*(1+Assumptions!$F$34)^(AA$3-1))</f>
        <v/>
      </c>
      <c r="AB38" s="10">
        <f>IF(AB$4&lt;Assumptions!$C$34,0,Assumptions!$B$34*Assumptions!$D$34*(1+Assumptions!$E$34)*(1+Assumptions!$F$34)^(AB$3-1))</f>
        <v/>
      </c>
      <c r="AC38" s="10">
        <f>IF(AC$4&lt;Assumptions!$C$34,0,Assumptions!$B$34*Assumptions!$D$34*(1+Assumptions!$E$34)*(1+Assumptions!$F$34)^(AC$3-1))</f>
        <v/>
      </c>
      <c r="AD38" s="10">
        <f>IF(AD$4&lt;Assumptions!$C$34,0,Assumptions!$B$34*Assumptions!$D$34*(1+Assumptions!$E$34)*(1+Assumptions!$F$34)^(AD$3-1))</f>
        <v/>
      </c>
      <c r="AE38" s="10">
        <f>IF(AE$4&lt;Assumptions!$C$34,0,Assumptions!$B$34*Assumptions!$D$34*(1+Assumptions!$E$34)*(1+Assumptions!$F$34)^(AE$3-1))</f>
        <v/>
      </c>
      <c r="AF38" s="10">
        <f>IF(AF$4&lt;Assumptions!$C$34,0,Assumptions!$B$34*Assumptions!$D$34*(1+Assumptions!$E$34)*(1+Assumptions!$F$34)^(AF$3-1))</f>
        <v/>
      </c>
      <c r="AG38" s="10">
        <f>IF(AG$4&lt;Assumptions!$C$34,0,Assumptions!$B$34*Assumptions!$D$34*(1+Assumptions!$E$34)*(1+Assumptions!$F$34)^(AG$3-1))</f>
        <v/>
      </c>
      <c r="AH38" s="10">
        <f>IF(AH$4&lt;Assumptions!$C$34,0,Assumptions!$B$34*Assumptions!$D$34*(1+Assumptions!$E$34)*(1+Assumptions!$F$34)^(AH$3-1))</f>
        <v/>
      </c>
      <c r="AI38" s="10">
        <f>IF(AI$4&lt;Assumptions!$C$34,0,Assumptions!$B$34*Assumptions!$D$34*(1+Assumptions!$E$34)*(1+Assumptions!$F$34)^(AI$3-1))</f>
        <v/>
      </c>
      <c r="AJ38" s="10">
        <f>IF(AJ$4&lt;Assumptions!$C$34,0,Assumptions!$B$34*Assumptions!$D$34*(1+Assumptions!$E$34)*(1+Assumptions!$F$34)^(AJ$3-1))</f>
        <v/>
      </c>
      <c r="AK38" s="10">
        <f>IF(AK$4&lt;Assumptions!$C$34,0,Assumptions!$B$34*Assumptions!$D$34*(1+Assumptions!$E$34)*(1+Assumptions!$F$34)^(AK$3-1))</f>
        <v/>
      </c>
      <c r="AL38" s="10">
        <f>IF(AL$4&lt;Assumptions!$C$34,0,Assumptions!$B$34*Assumptions!$D$34*(1+Assumptions!$E$34)*(1+Assumptions!$F$34)^(AL$3-1))</f>
        <v/>
      </c>
    </row>
    <row r="39">
      <c r="A39" s="6" t="inlineStr">
        <is>
          <t>Journeyman 2</t>
        </is>
      </c>
      <c r="B39" s="11" t="inlineStr">
        <is>
          <t>$</t>
        </is>
      </c>
      <c r="C39" s="10">
        <f>IF(C$4&lt;Assumptions!$C$35,0,Assumptions!$B$35*Assumptions!$D$35*(1+Assumptions!$E$35)*(1+Assumptions!$F$35)^(C$3-1))</f>
        <v/>
      </c>
      <c r="D39" s="10">
        <f>IF(D$4&lt;Assumptions!$C$35,0,Assumptions!$B$35*Assumptions!$D$35*(1+Assumptions!$E$35)*(1+Assumptions!$F$35)^(D$3-1))</f>
        <v/>
      </c>
      <c r="E39" s="10">
        <f>IF(E$4&lt;Assumptions!$C$35,0,Assumptions!$B$35*Assumptions!$D$35*(1+Assumptions!$E$35)*(1+Assumptions!$F$35)^(E$3-1))</f>
        <v/>
      </c>
      <c r="F39" s="10">
        <f>IF(F$4&lt;Assumptions!$C$35,0,Assumptions!$B$35*Assumptions!$D$35*(1+Assumptions!$E$35)*(1+Assumptions!$F$35)^(F$3-1))</f>
        <v/>
      </c>
      <c r="G39" s="10">
        <f>IF(G$4&lt;Assumptions!$C$35,0,Assumptions!$B$35*Assumptions!$D$35*(1+Assumptions!$E$35)*(1+Assumptions!$F$35)^(G$3-1))</f>
        <v/>
      </c>
      <c r="H39" s="10">
        <f>IF(H$4&lt;Assumptions!$C$35,0,Assumptions!$B$35*Assumptions!$D$35*(1+Assumptions!$E$35)*(1+Assumptions!$F$35)^(H$3-1))</f>
        <v/>
      </c>
      <c r="I39" s="10">
        <f>IF(I$4&lt;Assumptions!$C$35,0,Assumptions!$B$35*Assumptions!$D$35*(1+Assumptions!$E$35)*(1+Assumptions!$F$35)^(I$3-1))</f>
        <v/>
      </c>
      <c r="J39" s="10">
        <f>IF(J$4&lt;Assumptions!$C$35,0,Assumptions!$B$35*Assumptions!$D$35*(1+Assumptions!$E$35)*(1+Assumptions!$F$35)^(J$3-1))</f>
        <v/>
      </c>
      <c r="K39" s="10">
        <f>IF(K$4&lt;Assumptions!$C$35,0,Assumptions!$B$35*Assumptions!$D$35*(1+Assumptions!$E$35)*(1+Assumptions!$F$35)^(K$3-1))</f>
        <v/>
      </c>
      <c r="L39" s="10">
        <f>IF(L$4&lt;Assumptions!$C$35,0,Assumptions!$B$35*Assumptions!$D$35*(1+Assumptions!$E$35)*(1+Assumptions!$F$35)^(L$3-1))</f>
        <v/>
      </c>
      <c r="M39" s="10">
        <f>IF(M$4&lt;Assumptions!$C$35,0,Assumptions!$B$35*Assumptions!$D$35*(1+Assumptions!$E$35)*(1+Assumptions!$F$35)^(M$3-1))</f>
        <v/>
      </c>
      <c r="N39" s="10">
        <f>IF(N$4&lt;Assumptions!$C$35,0,Assumptions!$B$35*Assumptions!$D$35*(1+Assumptions!$E$35)*(1+Assumptions!$F$35)^(N$3-1))</f>
        <v/>
      </c>
      <c r="O39" s="10">
        <f>IF(O$4&lt;Assumptions!$C$35,0,Assumptions!$B$35*Assumptions!$D$35*(1+Assumptions!$E$35)*(1+Assumptions!$F$35)^(O$3-1))</f>
        <v/>
      </c>
      <c r="P39" s="10">
        <f>IF(P$4&lt;Assumptions!$C$35,0,Assumptions!$B$35*Assumptions!$D$35*(1+Assumptions!$E$35)*(1+Assumptions!$F$35)^(P$3-1))</f>
        <v/>
      </c>
      <c r="Q39" s="10">
        <f>IF(Q$4&lt;Assumptions!$C$35,0,Assumptions!$B$35*Assumptions!$D$35*(1+Assumptions!$E$35)*(1+Assumptions!$F$35)^(Q$3-1))</f>
        <v/>
      </c>
      <c r="R39" s="10">
        <f>IF(R$4&lt;Assumptions!$C$35,0,Assumptions!$B$35*Assumptions!$D$35*(1+Assumptions!$E$35)*(1+Assumptions!$F$35)^(R$3-1))</f>
        <v/>
      </c>
      <c r="S39" s="10">
        <f>IF(S$4&lt;Assumptions!$C$35,0,Assumptions!$B$35*Assumptions!$D$35*(1+Assumptions!$E$35)*(1+Assumptions!$F$35)^(S$3-1))</f>
        <v/>
      </c>
      <c r="T39" s="10">
        <f>IF(T$4&lt;Assumptions!$C$35,0,Assumptions!$B$35*Assumptions!$D$35*(1+Assumptions!$E$35)*(1+Assumptions!$F$35)^(T$3-1))</f>
        <v/>
      </c>
      <c r="U39" s="10">
        <f>IF(U$4&lt;Assumptions!$C$35,0,Assumptions!$B$35*Assumptions!$D$35*(1+Assumptions!$E$35)*(1+Assumptions!$F$35)^(U$3-1))</f>
        <v/>
      </c>
      <c r="V39" s="10">
        <f>IF(V$4&lt;Assumptions!$C$35,0,Assumptions!$B$35*Assumptions!$D$35*(1+Assumptions!$E$35)*(1+Assumptions!$F$35)^(V$3-1))</f>
        <v/>
      </c>
      <c r="W39" s="10">
        <f>IF(W$4&lt;Assumptions!$C$35,0,Assumptions!$B$35*Assumptions!$D$35*(1+Assumptions!$E$35)*(1+Assumptions!$F$35)^(W$3-1))</f>
        <v/>
      </c>
      <c r="X39" s="10">
        <f>IF(X$4&lt;Assumptions!$C$35,0,Assumptions!$B$35*Assumptions!$D$35*(1+Assumptions!$E$35)*(1+Assumptions!$F$35)^(X$3-1))</f>
        <v/>
      </c>
      <c r="Y39" s="10">
        <f>IF(Y$4&lt;Assumptions!$C$35,0,Assumptions!$B$35*Assumptions!$D$35*(1+Assumptions!$E$35)*(1+Assumptions!$F$35)^(Y$3-1))</f>
        <v/>
      </c>
      <c r="Z39" s="10">
        <f>IF(Z$4&lt;Assumptions!$C$35,0,Assumptions!$B$35*Assumptions!$D$35*(1+Assumptions!$E$35)*(1+Assumptions!$F$35)^(Z$3-1))</f>
        <v/>
      </c>
      <c r="AA39" s="10">
        <f>IF(AA$4&lt;Assumptions!$C$35,0,Assumptions!$B$35*Assumptions!$D$35*(1+Assumptions!$E$35)*(1+Assumptions!$F$35)^(AA$3-1))</f>
        <v/>
      </c>
      <c r="AB39" s="10">
        <f>IF(AB$4&lt;Assumptions!$C$35,0,Assumptions!$B$35*Assumptions!$D$35*(1+Assumptions!$E$35)*(1+Assumptions!$F$35)^(AB$3-1))</f>
        <v/>
      </c>
      <c r="AC39" s="10">
        <f>IF(AC$4&lt;Assumptions!$C$35,0,Assumptions!$B$35*Assumptions!$D$35*(1+Assumptions!$E$35)*(1+Assumptions!$F$35)^(AC$3-1))</f>
        <v/>
      </c>
      <c r="AD39" s="10">
        <f>IF(AD$4&lt;Assumptions!$C$35,0,Assumptions!$B$35*Assumptions!$D$35*(1+Assumptions!$E$35)*(1+Assumptions!$F$35)^(AD$3-1))</f>
        <v/>
      </c>
      <c r="AE39" s="10">
        <f>IF(AE$4&lt;Assumptions!$C$35,0,Assumptions!$B$35*Assumptions!$D$35*(1+Assumptions!$E$35)*(1+Assumptions!$F$35)^(AE$3-1))</f>
        <v/>
      </c>
      <c r="AF39" s="10">
        <f>IF(AF$4&lt;Assumptions!$C$35,0,Assumptions!$B$35*Assumptions!$D$35*(1+Assumptions!$E$35)*(1+Assumptions!$F$35)^(AF$3-1))</f>
        <v/>
      </c>
      <c r="AG39" s="10">
        <f>IF(AG$4&lt;Assumptions!$C$35,0,Assumptions!$B$35*Assumptions!$D$35*(1+Assumptions!$E$35)*(1+Assumptions!$F$35)^(AG$3-1))</f>
        <v/>
      </c>
      <c r="AH39" s="10">
        <f>IF(AH$4&lt;Assumptions!$C$35,0,Assumptions!$B$35*Assumptions!$D$35*(1+Assumptions!$E$35)*(1+Assumptions!$F$35)^(AH$3-1))</f>
        <v/>
      </c>
      <c r="AI39" s="10">
        <f>IF(AI$4&lt;Assumptions!$C$35,0,Assumptions!$B$35*Assumptions!$D$35*(1+Assumptions!$E$35)*(1+Assumptions!$F$35)^(AI$3-1))</f>
        <v/>
      </c>
      <c r="AJ39" s="10">
        <f>IF(AJ$4&lt;Assumptions!$C$35,0,Assumptions!$B$35*Assumptions!$D$35*(1+Assumptions!$E$35)*(1+Assumptions!$F$35)^(AJ$3-1))</f>
        <v/>
      </c>
      <c r="AK39" s="10">
        <f>IF(AK$4&lt;Assumptions!$C$35,0,Assumptions!$B$35*Assumptions!$D$35*(1+Assumptions!$E$35)*(1+Assumptions!$F$35)^(AK$3-1))</f>
        <v/>
      </c>
      <c r="AL39" s="10">
        <f>IF(AL$4&lt;Assumptions!$C$35,0,Assumptions!$B$35*Assumptions!$D$35*(1+Assumptions!$E$35)*(1+Assumptions!$F$35)^(AL$3-1))</f>
        <v/>
      </c>
    </row>
    <row r="40">
      <c r="A40" s="12" t="inlineStr">
        <is>
          <t>Total field labor</t>
        </is>
      </c>
      <c r="B40" s="11" t="inlineStr">
        <is>
          <t>$</t>
        </is>
      </c>
      <c r="C40" s="27">
        <f>SUM(C37:C39)</f>
        <v/>
      </c>
      <c r="D40" s="27">
        <f>SUM(D37:D39)</f>
        <v/>
      </c>
      <c r="E40" s="27">
        <f>SUM(E37:E39)</f>
        <v/>
      </c>
      <c r="F40" s="27">
        <f>SUM(F37:F39)</f>
        <v/>
      </c>
      <c r="G40" s="27">
        <f>SUM(G37:G39)</f>
        <v/>
      </c>
      <c r="H40" s="27">
        <f>SUM(H37:H39)</f>
        <v/>
      </c>
      <c r="I40" s="27">
        <f>SUM(I37:I39)</f>
        <v/>
      </c>
      <c r="J40" s="27">
        <f>SUM(J37:J39)</f>
        <v/>
      </c>
      <c r="K40" s="27">
        <f>SUM(K37:K39)</f>
        <v/>
      </c>
      <c r="L40" s="27">
        <f>SUM(L37:L39)</f>
        <v/>
      </c>
      <c r="M40" s="27">
        <f>SUM(M37:M39)</f>
        <v/>
      </c>
      <c r="N40" s="27">
        <f>SUM(N37:N39)</f>
        <v/>
      </c>
      <c r="O40" s="27">
        <f>SUM(O37:O39)</f>
        <v/>
      </c>
      <c r="P40" s="27">
        <f>SUM(P37:P39)</f>
        <v/>
      </c>
      <c r="Q40" s="27">
        <f>SUM(Q37:Q39)</f>
        <v/>
      </c>
      <c r="R40" s="27">
        <f>SUM(R37:R39)</f>
        <v/>
      </c>
      <c r="S40" s="27">
        <f>SUM(S37:S39)</f>
        <v/>
      </c>
      <c r="T40" s="27">
        <f>SUM(T37:T39)</f>
        <v/>
      </c>
      <c r="U40" s="27">
        <f>SUM(U37:U39)</f>
        <v/>
      </c>
      <c r="V40" s="27">
        <f>SUM(V37:V39)</f>
        <v/>
      </c>
      <c r="W40" s="27">
        <f>SUM(W37:W39)</f>
        <v/>
      </c>
      <c r="X40" s="27">
        <f>SUM(X37:X39)</f>
        <v/>
      </c>
      <c r="Y40" s="27">
        <f>SUM(Y37:Y39)</f>
        <v/>
      </c>
      <c r="Z40" s="27">
        <f>SUM(Z37:Z39)</f>
        <v/>
      </c>
      <c r="AA40" s="27">
        <f>SUM(AA37:AA39)</f>
        <v/>
      </c>
      <c r="AB40" s="27">
        <f>SUM(AB37:AB39)</f>
        <v/>
      </c>
      <c r="AC40" s="27">
        <f>SUM(AC37:AC39)</f>
        <v/>
      </c>
      <c r="AD40" s="27">
        <f>SUM(AD37:AD39)</f>
        <v/>
      </c>
      <c r="AE40" s="27">
        <f>SUM(AE37:AE39)</f>
        <v/>
      </c>
      <c r="AF40" s="27">
        <f>SUM(AF37:AF39)</f>
        <v/>
      </c>
      <c r="AG40" s="27">
        <f>SUM(AG37:AG39)</f>
        <v/>
      </c>
      <c r="AH40" s="27">
        <f>SUM(AH37:AH39)</f>
        <v/>
      </c>
      <c r="AI40" s="27">
        <f>SUM(AI37:AI39)</f>
        <v/>
      </c>
      <c r="AJ40" s="27">
        <f>SUM(AJ37:AJ39)</f>
        <v/>
      </c>
      <c r="AK40" s="27">
        <f>SUM(AK37:AK39)</f>
        <v/>
      </c>
      <c r="AL40" s="27">
        <f>SUM(AL37:AL39)</f>
        <v/>
      </c>
    </row>
    <row r="41">
      <c r="A41" s="12" t="inlineStr">
        <is>
          <t>Gross profit after labor</t>
        </is>
      </c>
      <c r="B41" s="11" t="inlineStr">
        <is>
          <t>$</t>
        </is>
      </c>
      <c r="C41" s="15">
        <f>C33-C40</f>
        <v/>
      </c>
      <c r="D41" s="15">
        <f>D33-D40</f>
        <v/>
      </c>
      <c r="E41" s="15">
        <f>E33-E40</f>
        <v/>
      </c>
      <c r="F41" s="15">
        <f>F33-F40</f>
        <v/>
      </c>
      <c r="G41" s="15">
        <f>G33-G40</f>
        <v/>
      </c>
      <c r="H41" s="15">
        <f>H33-H40</f>
        <v/>
      </c>
      <c r="I41" s="15">
        <f>I33-I40</f>
        <v/>
      </c>
      <c r="J41" s="15">
        <f>J33-J40</f>
        <v/>
      </c>
      <c r="K41" s="15">
        <f>K33-K40</f>
        <v/>
      </c>
      <c r="L41" s="15">
        <f>L33-L40</f>
        <v/>
      </c>
      <c r="M41" s="15">
        <f>M33-M40</f>
        <v/>
      </c>
      <c r="N41" s="15">
        <f>N33-N40</f>
        <v/>
      </c>
      <c r="O41" s="15">
        <f>O33-O40</f>
        <v/>
      </c>
      <c r="P41" s="15">
        <f>P33-P40</f>
        <v/>
      </c>
      <c r="Q41" s="15">
        <f>Q33-Q40</f>
        <v/>
      </c>
      <c r="R41" s="15">
        <f>R33-R40</f>
        <v/>
      </c>
      <c r="S41" s="15">
        <f>S33-S40</f>
        <v/>
      </c>
      <c r="T41" s="15">
        <f>T33-T40</f>
        <v/>
      </c>
      <c r="U41" s="15">
        <f>U33-U40</f>
        <v/>
      </c>
      <c r="V41" s="15">
        <f>V33-V40</f>
        <v/>
      </c>
      <c r="W41" s="15">
        <f>W33-W40</f>
        <v/>
      </c>
      <c r="X41" s="15">
        <f>X33-X40</f>
        <v/>
      </c>
      <c r="Y41" s="15">
        <f>Y33-Y40</f>
        <v/>
      </c>
      <c r="Z41" s="15">
        <f>Z33-Z40</f>
        <v/>
      </c>
      <c r="AA41" s="15">
        <f>AA33-AA40</f>
        <v/>
      </c>
      <c r="AB41" s="15">
        <f>AB33-AB40</f>
        <v/>
      </c>
      <c r="AC41" s="15">
        <f>AC33-AC40</f>
        <v/>
      </c>
      <c r="AD41" s="15">
        <f>AD33-AD40</f>
        <v/>
      </c>
      <c r="AE41" s="15">
        <f>AE33-AE40</f>
        <v/>
      </c>
      <c r="AF41" s="15">
        <f>AF33-AF40</f>
        <v/>
      </c>
      <c r="AG41" s="15">
        <f>AG33-AG40</f>
        <v/>
      </c>
      <c r="AH41" s="15">
        <f>AH33-AH40</f>
        <v/>
      </c>
      <c r="AI41" s="15">
        <f>AI33-AI40</f>
        <v/>
      </c>
      <c r="AJ41" s="15">
        <f>AJ33-AJ40</f>
        <v/>
      </c>
      <c r="AK41" s="15">
        <f>AK33-AK40</f>
        <v/>
      </c>
      <c r="AL41" s="15">
        <f>AL33-AL40</f>
        <v/>
      </c>
    </row>
    <row r="43">
      <c r="A43" s="12" t="inlineStr">
        <is>
          <t>Operating expenses</t>
        </is>
      </c>
    </row>
    <row r="44">
      <c r="A44" s="6" t="inlineStr">
        <is>
          <t>Fixed overhead (software, phone, bookkeeping, tools, misc)</t>
        </is>
      </c>
      <c r="B44" s="11" t="inlineStr">
        <is>
          <t>$</t>
        </is>
      </c>
      <c r="C44" s="10">
        <f>Assumptions!$B$56*(1+Assumptions!$B$57)^(C$3-1)</f>
        <v/>
      </c>
      <c r="D44" s="10">
        <f>Assumptions!$B$56*(1+Assumptions!$B$57)^(D$3-1)</f>
        <v/>
      </c>
      <c r="E44" s="10">
        <f>Assumptions!$B$56*(1+Assumptions!$B$57)^(E$3-1)</f>
        <v/>
      </c>
      <c r="F44" s="10">
        <f>Assumptions!$B$56*(1+Assumptions!$B$57)^(F$3-1)</f>
        <v/>
      </c>
      <c r="G44" s="10">
        <f>Assumptions!$B$56*(1+Assumptions!$B$57)^(G$3-1)</f>
        <v/>
      </c>
      <c r="H44" s="10">
        <f>Assumptions!$B$56*(1+Assumptions!$B$57)^(H$3-1)</f>
        <v/>
      </c>
      <c r="I44" s="10">
        <f>Assumptions!$B$56*(1+Assumptions!$B$57)^(I$3-1)</f>
        <v/>
      </c>
      <c r="J44" s="10">
        <f>Assumptions!$B$56*(1+Assumptions!$B$57)^(J$3-1)</f>
        <v/>
      </c>
      <c r="K44" s="10">
        <f>Assumptions!$B$56*(1+Assumptions!$B$57)^(K$3-1)</f>
        <v/>
      </c>
      <c r="L44" s="10">
        <f>Assumptions!$B$56*(1+Assumptions!$B$57)^(L$3-1)</f>
        <v/>
      </c>
      <c r="M44" s="10">
        <f>Assumptions!$B$56*(1+Assumptions!$B$57)^(M$3-1)</f>
        <v/>
      </c>
      <c r="N44" s="10">
        <f>Assumptions!$B$56*(1+Assumptions!$B$57)^(N$3-1)</f>
        <v/>
      </c>
      <c r="O44" s="10">
        <f>Assumptions!$B$56*(1+Assumptions!$B$57)^(O$3-1)</f>
        <v/>
      </c>
      <c r="P44" s="10">
        <f>Assumptions!$B$56*(1+Assumptions!$B$57)^(P$3-1)</f>
        <v/>
      </c>
      <c r="Q44" s="10">
        <f>Assumptions!$B$56*(1+Assumptions!$B$57)^(Q$3-1)</f>
        <v/>
      </c>
      <c r="R44" s="10">
        <f>Assumptions!$B$56*(1+Assumptions!$B$57)^(R$3-1)</f>
        <v/>
      </c>
      <c r="S44" s="10">
        <f>Assumptions!$B$56*(1+Assumptions!$B$57)^(S$3-1)</f>
        <v/>
      </c>
      <c r="T44" s="10">
        <f>Assumptions!$B$56*(1+Assumptions!$B$57)^(T$3-1)</f>
        <v/>
      </c>
      <c r="U44" s="10">
        <f>Assumptions!$B$56*(1+Assumptions!$B$57)^(U$3-1)</f>
        <v/>
      </c>
      <c r="V44" s="10">
        <f>Assumptions!$B$56*(1+Assumptions!$B$57)^(V$3-1)</f>
        <v/>
      </c>
      <c r="W44" s="10">
        <f>Assumptions!$B$56*(1+Assumptions!$B$57)^(W$3-1)</f>
        <v/>
      </c>
      <c r="X44" s="10">
        <f>Assumptions!$B$56*(1+Assumptions!$B$57)^(X$3-1)</f>
        <v/>
      </c>
      <c r="Y44" s="10">
        <f>Assumptions!$B$56*(1+Assumptions!$B$57)^(Y$3-1)</f>
        <v/>
      </c>
      <c r="Z44" s="10">
        <f>Assumptions!$B$56*(1+Assumptions!$B$57)^(Z$3-1)</f>
        <v/>
      </c>
      <c r="AA44" s="10">
        <f>Assumptions!$B$56*(1+Assumptions!$B$57)^(AA$3-1)</f>
        <v/>
      </c>
      <c r="AB44" s="10">
        <f>Assumptions!$B$56*(1+Assumptions!$B$57)^(AB$3-1)</f>
        <v/>
      </c>
      <c r="AC44" s="10">
        <f>Assumptions!$B$56*(1+Assumptions!$B$57)^(AC$3-1)</f>
        <v/>
      </c>
      <c r="AD44" s="10">
        <f>Assumptions!$B$56*(1+Assumptions!$B$57)^(AD$3-1)</f>
        <v/>
      </c>
      <c r="AE44" s="10">
        <f>Assumptions!$B$56*(1+Assumptions!$B$57)^(AE$3-1)</f>
        <v/>
      </c>
      <c r="AF44" s="10">
        <f>Assumptions!$B$56*(1+Assumptions!$B$57)^(AF$3-1)</f>
        <v/>
      </c>
      <c r="AG44" s="10">
        <f>Assumptions!$B$56*(1+Assumptions!$B$57)^(AG$3-1)</f>
        <v/>
      </c>
      <c r="AH44" s="10">
        <f>Assumptions!$B$56*(1+Assumptions!$B$57)^(AH$3-1)</f>
        <v/>
      </c>
      <c r="AI44" s="10">
        <f>Assumptions!$B$56*(1+Assumptions!$B$57)^(AI$3-1)</f>
        <v/>
      </c>
      <c r="AJ44" s="10">
        <f>Assumptions!$B$56*(1+Assumptions!$B$57)^(AJ$3-1)</f>
        <v/>
      </c>
      <c r="AK44" s="10">
        <f>Assumptions!$B$56*(1+Assumptions!$B$57)^(AK$3-1)</f>
        <v/>
      </c>
      <c r="AL44" s="10">
        <f>Assumptions!$B$56*(1+Assumptions!$B$57)^(AL$3-1)</f>
        <v/>
      </c>
    </row>
    <row r="45">
      <c r="A45" s="6" t="inlineStr">
        <is>
          <t>Office help</t>
        </is>
      </c>
      <c r="B45" s="11" t="inlineStr">
        <is>
          <t>$</t>
        </is>
      </c>
      <c r="C45" s="10">
        <f>IF(C$4&lt;Assumptions!$C$42,0,Assumptions!$B$42*(1+Assumptions!$B$57)^(C$3-1))</f>
        <v/>
      </c>
      <c r="D45" s="10">
        <f>IF(D$4&lt;Assumptions!$C$42,0,Assumptions!$B$42*(1+Assumptions!$B$57)^(D$3-1))</f>
        <v/>
      </c>
      <c r="E45" s="10">
        <f>IF(E$4&lt;Assumptions!$C$42,0,Assumptions!$B$42*(1+Assumptions!$B$57)^(E$3-1))</f>
        <v/>
      </c>
      <c r="F45" s="10">
        <f>IF(F$4&lt;Assumptions!$C$42,0,Assumptions!$B$42*(1+Assumptions!$B$57)^(F$3-1))</f>
        <v/>
      </c>
      <c r="G45" s="10">
        <f>IF(G$4&lt;Assumptions!$C$42,0,Assumptions!$B$42*(1+Assumptions!$B$57)^(G$3-1))</f>
        <v/>
      </c>
      <c r="H45" s="10">
        <f>IF(H$4&lt;Assumptions!$C$42,0,Assumptions!$B$42*(1+Assumptions!$B$57)^(H$3-1))</f>
        <v/>
      </c>
      <c r="I45" s="10">
        <f>IF(I$4&lt;Assumptions!$C$42,0,Assumptions!$B$42*(1+Assumptions!$B$57)^(I$3-1))</f>
        <v/>
      </c>
      <c r="J45" s="10">
        <f>IF(J$4&lt;Assumptions!$C$42,0,Assumptions!$B$42*(1+Assumptions!$B$57)^(J$3-1))</f>
        <v/>
      </c>
      <c r="K45" s="10">
        <f>IF(K$4&lt;Assumptions!$C$42,0,Assumptions!$B$42*(1+Assumptions!$B$57)^(K$3-1))</f>
        <v/>
      </c>
      <c r="L45" s="10">
        <f>IF(L$4&lt;Assumptions!$C$42,0,Assumptions!$B$42*(1+Assumptions!$B$57)^(L$3-1))</f>
        <v/>
      </c>
      <c r="M45" s="10">
        <f>IF(M$4&lt;Assumptions!$C$42,0,Assumptions!$B$42*(1+Assumptions!$B$57)^(M$3-1))</f>
        <v/>
      </c>
      <c r="N45" s="10">
        <f>IF(N$4&lt;Assumptions!$C$42,0,Assumptions!$B$42*(1+Assumptions!$B$57)^(N$3-1))</f>
        <v/>
      </c>
      <c r="O45" s="10">
        <f>IF(O$4&lt;Assumptions!$C$42,0,Assumptions!$B$42*(1+Assumptions!$B$57)^(O$3-1))</f>
        <v/>
      </c>
      <c r="P45" s="10">
        <f>IF(P$4&lt;Assumptions!$C$42,0,Assumptions!$B$42*(1+Assumptions!$B$57)^(P$3-1))</f>
        <v/>
      </c>
      <c r="Q45" s="10">
        <f>IF(Q$4&lt;Assumptions!$C$42,0,Assumptions!$B$42*(1+Assumptions!$B$57)^(Q$3-1))</f>
        <v/>
      </c>
      <c r="R45" s="10">
        <f>IF(R$4&lt;Assumptions!$C$42,0,Assumptions!$B$42*(1+Assumptions!$B$57)^(R$3-1))</f>
        <v/>
      </c>
      <c r="S45" s="10">
        <f>IF(S$4&lt;Assumptions!$C$42,0,Assumptions!$B$42*(1+Assumptions!$B$57)^(S$3-1))</f>
        <v/>
      </c>
      <c r="T45" s="10">
        <f>IF(T$4&lt;Assumptions!$C$42,0,Assumptions!$B$42*(1+Assumptions!$B$57)^(T$3-1))</f>
        <v/>
      </c>
      <c r="U45" s="10">
        <f>IF(U$4&lt;Assumptions!$C$42,0,Assumptions!$B$42*(1+Assumptions!$B$57)^(U$3-1))</f>
        <v/>
      </c>
      <c r="V45" s="10">
        <f>IF(V$4&lt;Assumptions!$C$42,0,Assumptions!$B$42*(1+Assumptions!$B$57)^(V$3-1))</f>
        <v/>
      </c>
      <c r="W45" s="10">
        <f>IF(W$4&lt;Assumptions!$C$42,0,Assumptions!$B$42*(1+Assumptions!$B$57)^(W$3-1))</f>
        <v/>
      </c>
      <c r="X45" s="10">
        <f>IF(X$4&lt;Assumptions!$C$42,0,Assumptions!$B$42*(1+Assumptions!$B$57)^(X$3-1))</f>
        <v/>
      </c>
      <c r="Y45" s="10">
        <f>IF(Y$4&lt;Assumptions!$C$42,0,Assumptions!$B$42*(1+Assumptions!$B$57)^(Y$3-1))</f>
        <v/>
      </c>
      <c r="Z45" s="10">
        <f>IF(Z$4&lt;Assumptions!$C$42,0,Assumptions!$B$42*(1+Assumptions!$B$57)^(Z$3-1))</f>
        <v/>
      </c>
      <c r="AA45" s="10">
        <f>IF(AA$4&lt;Assumptions!$C$42,0,Assumptions!$B$42*(1+Assumptions!$B$57)^(AA$3-1))</f>
        <v/>
      </c>
      <c r="AB45" s="10">
        <f>IF(AB$4&lt;Assumptions!$C$42,0,Assumptions!$B$42*(1+Assumptions!$B$57)^(AB$3-1))</f>
        <v/>
      </c>
      <c r="AC45" s="10">
        <f>IF(AC$4&lt;Assumptions!$C$42,0,Assumptions!$B$42*(1+Assumptions!$B$57)^(AC$3-1))</f>
        <v/>
      </c>
      <c r="AD45" s="10">
        <f>IF(AD$4&lt;Assumptions!$C$42,0,Assumptions!$B$42*(1+Assumptions!$B$57)^(AD$3-1))</f>
        <v/>
      </c>
      <c r="AE45" s="10">
        <f>IF(AE$4&lt;Assumptions!$C$42,0,Assumptions!$B$42*(1+Assumptions!$B$57)^(AE$3-1))</f>
        <v/>
      </c>
      <c r="AF45" s="10">
        <f>IF(AF$4&lt;Assumptions!$C$42,0,Assumptions!$B$42*(1+Assumptions!$B$57)^(AF$3-1))</f>
        <v/>
      </c>
      <c r="AG45" s="10">
        <f>IF(AG$4&lt;Assumptions!$C$42,0,Assumptions!$B$42*(1+Assumptions!$B$57)^(AG$3-1))</f>
        <v/>
      </c>
      <c r="AH45" s="10">
        <f>IF(AH$4&lt;Assumptions!$C$42,0,Assumptions!$B$42*(1+Assumptions!$B$57)^(AH$3-1))</f>
        <v/>
      </c>
      <c r="AI45" s="10">
        <f>IF(AI$4&lt;Assumptions!$C$42,0,Assumptions!$B$42*(1+Assumptions!$B$57)^(AI$3-1))</f>
        <v/>
      </c>
      <c r="AJ45" s="10">
        <f>IF(AJ$4&lt;Assumptions!$C$42,0,Assumptions!$B$42*(1+Assumptions!$B$57)^(AJ$3-1))</f>
        <v/>
      </c>
      <c r="AK45" s="10">
        <f>IF(AK$4&lt;Assumptions!$C$42,0,Assumptions!$B$42*(1+Assumptions!$B$57)^(AK$3-1))</f>
        <v/>
      </c>
      <c r="AL45" s="10">
        <f>IF(AL$4&lt;Assumptions!$C$42,0,Assumptions!$B$42*(1+Assumptions!$B$57)^(AL$3-1))</f>
        <v/>
      </c>
    </row>
    <row r="46">
      <c r="A46" s="6" t="inlineStr">
        <is>
          <t>Vans in service</t>
        </is>
      </c>
      <c r="B46" s="11" t="inlineStr">
        <is>
          <t>#</t>
        </is>
      </c>
      <c r="C46" s="31">
        <f>1+IF(C$4&gt;=Assumptions!$B$68,1,0)</f>
        <v/>
      </c>
      <c r="D46" s="31">
        <f>1+IF(D$4&gt;=Assumptions!$B$68,1,0)</f>
        <v/>
      </c>
      <c r="E46" s="31">
        <f>1+IF(E$4&gt;=Assumptions!$B$68,1,0)</f>
        <v/>
      </c>
      <c r="F46" s="31">
        <f>1+IF(F$4&gt;=Assumptions!$B$68,1,0)</f>
        <v/>
      </c>
      <c r="G46" s="31">
        <f>1+IF(G$4&gt;=Assumptions!$B$68,1,0)</f>
        <v/>
      </c>
      <c r="H46" s="31">
        <f>1+IF(H$4&gt;=Assumptions!$B$68,1,0)</f>
        <v/>
      </c>
      <c r="I46" s="31">
        <f>1+IF(I$4&gt;=Assumptions!$B$68,1,0)</f>
        <v/>
      </c>
      <c r="J46" s="31">
        <f>1+IF(J$4&gt;=Assumptions!$B$68,1,0)</f>
        <v/>
      </c>
      <c r="K46" s="31">
        <f>1+IF(K$4&gt;=Assumptions!$B$68,1,0)</f>
        <v/>
      </c>
      <c r="L46" s="31">
        <f>1+IF(L$4&gt;=Assumptions!$B$68,1,0)</f>
        <v/>
      </c>
      <c r="M46" s="31">
        <f>1+IF(M$4&gt;=Assumptions!$B$68,1,0)</f>
        <v/>
      </c>
      <c r="N46" s="31">
        <f>1+IF(N$4&gt;=Assumptions!$B$68,1,0)</f>
        <v/>
      </c>
      <c r="O46" s="31">
        <f>1+IF(O$4&gt;=Assumptions!$B$68,1,0)</f>
        <v/>
      </c>
      <c r="P46" s="31">
        <f>1+IF(P$4&gt;=Assumptions!$B$68,1,0)</f>
        <v/>
      </c>
      <c r="Q46" s="31">
        <f>1+IF(Q$4&gt;=Assumptions!$B$68,1,0)</f>
        <v/>
      </c>
      <c r="R46" s="31">
        <f>1+IF(R$4&gt;=Assumptions!$B$68,1,0)</f>
        <v/>
      </c>
      <c r="S46" s="31">
        <f>1+IF(S$4&gt;=Assumptions!$B$68,1,0)</f>
        <v/>
      </c>
      <c r="T46" s="31">
        <f>1+IF(T$4&gt;=Assumptions!$B$68,1,0)</f>
        <v/>
      </c>
      <c r="U46" s="31">
        <f>1+IF(U$4&gt;=Assumptions!$B$68,1,0)</f>
        <v/>
      </c>
      <c r="V46" s="31">
        <f>1+IF(V$4&gt;=Assumptions!$B$68,1,0)</f>
        <v/>
      </c>
      <c r="W46" s="31">
        <f>1+IF(W$4&gt;=Assumptions!$B$68,1,0)</f>
        <v/>
      </c>
      <c r="X46" s="31">
        <f>1+IF(X$4&gt;=Assumptions!$B$68,1,0)</f>
        <v/>
      </c>
      <c r="Y46" s="31">
        <f>1+IF(Y$4&gt;=Assumptions!$B$68,1,0)</f>
        <v/>
      </c>
      <c r="Z46" s="31">
        <f>1+IF(Z$4&gt;=Assumptions!$B$68,1,0)</f>
        <v/>
      </c>
      <c r="AA46" s="31">
        <f>1+IF(AA$4&gt;=Assumptions!$B$68,1,0)</f>
        <v/>
      </c>
      <c r="AB46" s="31">
        <f>1+IF(AB$4&gt;=Assumptions!$B$68,1,0)</f>
        <v/>
      </c>
      <c r="AC46" s="31">
        <f>1+IF(AC$4&gt;=Assumptions!$B$68,1,0)</f>
        <v/>
      </c>
      <c r="AD46" s="31">
        <f>1+IF(AD$4&gt;=Assumptions!$B$68,1,0)</f>
        <v/>
      </c>
      <c r="AE46" s="31">
        <f>1+IF(AE$4&gt;=Assumptions!$B$68,1,0)</f>
        <v/>
      </c>
      <c r="AF46" s="31">
        <f>1+IF(AF$4&gt;=Assumptions!$B$68,1,0)</f>
        <v/>
      </c>
      <c r="AG46" s="31">
        <f>1+IF(AG$4&gt;=Assumptions!$B$68,1,0)</f>
        <v/>
      </c>
      <c r="AH46" s="31">
        <f>1+IF(AH$4&gt;=Assumptions!$B$68,1,0)</f>
        <v/>
      </c>
      <c r="AI46" s="31">
        <f>1+IF(AI$4&gt;=Assumptions!$B$68,1,0)</f>
        <v/>
      </c>
      <c r="AJ46" s="31">
        <f>1+IF(AJ$4&gt;=Assumptions!$B$68,1,0)</f>
        <v/>
      </c>
      <c r="AK46" s="31">
        <f>1+IF(AK$4&gt;=Assumptions!$B$68,1,0)</f>
        <v/>
      </c>
      <c r="AL46" s="31">
        <f>1+IF(AL$4&gt;=Assumptions!$B$68,1,0)</f>
        <v/>
      </c>
    </row>
    <row r="47">
      <c r="A47" s="6" t="inlineStr">
        <is>
          <t>Fuel, maintenance and tires</t>
        </is>
      </c>
      <c r="B47" s="11" t="inlineStr">
        <is>
          <t>$</t>
        </is>
      </c>
      <c r="C47" s="10">
        <f>C46*(Assumptions!$B$66+Assumptions!$B$67)*(1+Assumptions!$B$57)^(C$3-1)</f>
        <v/>
      </c>
      <c r="D47" s="10">
        <f>D46*(Assumptions!$B$66+Assumptions!$B$67)*(1+Assumptions!$B$57)^(D$3-1)</f>
        <v/>
      </c>
      <c r="E47" s="10">
        <f>E46*(Assumptions!$B$66+Assumptions!$B$67)*(1+Assumptions!$B$57)^(E$3-1)</f>
        <v/>
      </c>
      <c r="F47" s="10">
        <f>F46*(Assumptions!$B$66+Assumptions!$B$67)*(1+Assumptions!$B$57)^(F$3-1)</f>
        <v/>
      </c>
      <c r="G47" s="10">
        <f>G46*(Assumptions!$B$66+Assumptions!$B$67)*(1+Assumptions!$B$57)^(G$3-1)</f>
        <v/>
      </c>
      <c r="H47" s="10">
        <f>H46*(Assumptions!$B$66+Assumptions!$B$67)*(1+Assumptions!$B$57)^(H$3-1)</f>
        <v/>
      </c>
      <c r="I47" s="10">
        <f>I46*(Assumptions!$B$66+Assumptions!$B$67)*(1+Assumptions!$B$57)^(I$3-1)</f>
        <v/>
      </c>
      <c r="J47" s="10">
        <f>J46*(Assumptions!$B$66+Assumptions!$B$67)*(1+Assumptions!$B$57)^(J$3-1)</f>
        <v/>
      </c>
      <c r="K47" s="10">
        <f>K46*(Assumptions!$B$66+Assumptions!$B$67)*(1+Assumptions!$B$57)^(K$3-1)</f>
        <v/>
      </c>
      <c r="L47" s="10">
        <f>L46*(Assumptions!$B$66+Assumptions!$B$67)*(1+Assumptions!$B$57)^(L$3-1)</f>
        <v/>
      </c>
      <c r="M47" s="10">
        <f>M46*(Assumptions!$B$66+Assumptions!$B$67)*(1+Assumptions!$B$57)^(M$3-1)</f>
        <v/>
      </c>
      <c r="N47" s="10">
        <f>N46*(Assumptions!$B$66+Assumptions!$B$67)*(1+Assumptions!$B$57)^(N$3-1)</f>
        <v/>
      </c>
      <c r="O47" s="10">
        <f>O46*(Assumptions!$B$66+Assumptions!$B$67)*(1+Assumptions!$B$57)^(O$3-1)</f>
        <v/>
      </c>
      <c r="P47" s="10">
        <f>P46*(Assumptions!$B$66+Assumptions!$B$67)*(1+Assumptions!$B$57)^(P$3-1)</f>
        <v/>
      </c>
      <c r="Q47" s="10">
        <f>Q46*(Assumptions!$B$66+Assumptions!$B$67)*(1+Assumptions!$B$57)^(Q$3-1)</f>
        <v/>
      </c>
      <c r="R47" s="10">
        <f>R46*(Assumptions!$B$66+Assumptions!$B$67)*(1+Assumptions!$B$57)^(R$3-1)</f>
        <v/>
      </c>
      <c r="S47" s="10">
        <f>S46*(Assumptions!$B$66+Assumptions!$B$67)*(1+Assumptions!$B$57)^(S$3-1)</f>
        <v/>
      </c>
      <c r="T47" s="10">
        <f>T46*(Assumptions!$B$66+Assumptions!$B$67)*(1+Assumptions!$B$57)^(T$3-1)</f>
        <v/>
      </c>
      <c r="U47" s="10">
        <f>U46*(Assumptions!$B$66+Assumptions!$B$67)*(1+Assumptions!$B$57)^(U$3-1)</f>
        <v/>
      </c>
      <c r="V47" s="10">
        <f>V46*(Assumptions!$B$66+Assumptions!$B$67)*(1+Assumptions!$B$57)^(V$3-1)</f>
        <v/>
      </c>
      <c r="W47" s="10">
        <f>W46*(Assumptions!$B$66+Assumptions!$B$67)*(1+Assumptions!$B$57)^(W$3-1)</f>
        <v/>
      </c>
      <c r="X47" s="10">
        <f>X46*(Assumptions!$B$66+Assumptions!$B$67)*(1+Assumptions!$B$57)^(X$3-1)</f>
        <v/>
      </c>
      <c r="Y47" s="10">
        <f>Y46*(Assumptions!$B$66+Assumptions!$B$67)*(1+Assumptions!$B$57)^(Y$3-1)</f>
        <v/>
      </c>
      <c r="Z47" s="10">
        <f>Z46*(Assumptions!$B$66+Assumptions!$B$67)*(1+Assumptions!$B$57)^(Z$3-1)</f>
        <v/>
      </c>
      <c r="AA47" s="10">
        <f>AA46*(Assumptions!$B$66+Assumptions!$B$67)*(1+Assumptions!$B$57)^(AA$3-1)</f>
        <v/>
      </c>
      <c r="AB47" s="10">
        <f>AB46*(Assumptions!$B$66+Assumptions!$B$67)*(1+Assumptions!$B$57)^(AB$3-1)</f>
        <v/>
      </c>
      <c r="AC47" s="10">
        <f>AC46*(Assumptions!$B$66+Assumptions!$B$67)*(1+Assumptions!$B$57)^(AC$3-1)</f>
        <v/>
      </c>
      <c r="AD47" s="10">
        <f>AD46*(Assumptions!$B$66+Assumptions!$B$67)*(1+Assumptions!$B$57)^(AD$3-1)</f>
        <v/>
      </c>
      <c r="AE47" s="10">
        <f>AE46*(Assumptions!$B$66+Assumptions!$B$67)*(1+Assumptions!$B$57)^(AE$3-1)</f>
        <v/>
      </c>
      <c r="AF47" s="10">
        <f>AF46*(Assumptions!$B$66+Assumptions!$B$67)*(1+Assumptions!$B$57)^(AF$3-1)</f>
        <v/>
      </c>
      <c r="AG47" s="10">
        <f>AG46*(Assumptions!$B$66+Assumptions!$B$67)*(1+Assumptions!$B$57)^(AG$3-1)</f>
        <v/>
      </c>
      <c r="AH47" s="10">
        <f>AH46*(Assumptions!$B$66+Assumptions!$B$67)*(1+Assumptions!$B$57)^(AH$3-1)</f>
        <v/>
      </c>
      <c r="AI47" s="10">
        <f>AI46*(Assumptions!$B$66+Assumptions!$B$67)*(1+Assumptions!$B$57)^(AI$3-1)</f>
        <v/>
      </c>
      <c r="AJ47" s="10">
        <f>AJ46*(Assumptions!$B$66+Assumptions!$B$67)*(1+Assumptions!$B$57)^(AJ$3-1)</f>
        <v/>
      </c>
      <c r="AK47" s="10">
        <f>AK46*(Assumptions!$B$66+Assumptions!$B$67)*(1+Assumptions!$B$57)^(AK$3-1)</f>
        <v/>
      </c>
      <c r="AL47" s="10">
        <f>AL46*(Assumptions!$B$66+Assumptions!$B$67)*(1+Assumptions!$B$57)^(AL$3-1)</f>
        <v/>
      </c>
    </row>
    <row r="48">
      <c r="A48" s="6" t="inlineStr">
        <is>
          <t>Insurance: liability, auto, tools, umbrella</t>
        </is>
      </c>
      <c r="B48" s="11" t="inlineStr">
        <is>
          <t>$</t>
        </is>
      </c>
      <c r="C48" s="10">
        <f>(Assumptions!$B$77+(C46-1)*Assumptions!$B$73/12)*(1+Assumptions!$B$57)^(C$3-1)</f>
        <v/>
      </c>
      <c r="D48" s="10">
        <f>(Assumptions!$B$77+(D46-1)*Assumptions!$B$73/12)*(1+Assumptions!$B$57)^(D$3-1)</f>
        <v/>
      </c>
      <c r="E48" s="10">
        <f>(Assumptions!$B$77+(E46-1)*Assumptions!$B$73/12)*(1+Assumptions!$B$57)^(E$3-1)</f>
        <v/>
      </c>
      <c r="F48" s="10">
        <f>(Assumptions!$B$77+(F46-1)*Assumptions!$B$73/12)*(1+Assumptions!$B$57)^(F$3-1)</f>
        <v/>
      </c>
      <c r="G48" s="10">
        <f>(Assumptions!$B$77+(G46-1)*Assumptions!$B$73/12)*(1+Assumptions!$B$57)^(G$3-1)</f>
        <v/>
      </c>
      <c r="H48" s="10">
        <f>(Assumptions!$B$77+(H46-1)*Assumptions!$B$73/12)*(1+Assumptions!$B$57)^(H$3-1)</f>
        <v/>
      </c>
      <c r="I48" s="10">
        <f>(Assumptions!$B$77+(I46-1)*Assumptions!$B$73/12)*(1+Assumptions!$B$57)^(I$3-1)</f>
        <v/>
      </c>
      <c r="J48" s="10">
        <f>(Assumptions!$B$77+(J46-1)*Assumptions!$B$73/12)*(1+Assumptions!$B$57)^(J$3-1)</f>
        <v/>
      </c>
      <c r="K48" s="10">
        <f>(Assumptions!$B$77+(K46-1)*Assumptions!$B$73/12)*(1+Assumptions!$B$57)^(K$3-1)</f>
        <v/>
      </c>
      <c r="L48" s="10">
        <f>(Assumptions!$B$77+(L46-1)*Assumptions!$B$73/12)*(1+Assumptions!$B$57)^(L$3-1)</f>
        <v/>
      </c>
      <c r="M48" s="10">
        <f>(Assumptions!$B$77+(M46-1)*Assumptions!$B$73/12)*(1+Assumptions!$B$57)^(M$3-1)</f>
        <v/>
      </c>
      <c r="N48" s="10">
        <f>(Assumptions!$B$77+(N46-1)*Assumptions!$B$73/12)*(1+Assumptions!$B$57)^(N$3-1)</f>
        <v/>
      </c>
      <c r="O48" s="10">
        <f>(Assumptions!$B$77+(O46-1)*Assumptions!$B$73/12)*(1+Assumptions!$B$57)^(O$3-1)</f>
        <v/>
      </c>
      <c r="P48" s="10">
        <f>(Assumptions!$B$77+(P46-1)*Assumptions!$B$73/12)*(1+Assumptions!$B$57)^(P$3-1)</f>
        <v/>
      </c>
      <c r="Q48" s="10">
        <f>(Assumptions!$B$77+(Q46-1)*Assumptions!$B$73/12)*(1+Assumptions!$B$57)^(Q$3-1)</f>
        <v/>
      </c>
      <c r="R48" s="10">
        <f>(Assumptions!$B$77+(R46-1)*Assumptions!$B$73/12)*(1+Assumptions!$B$57)^(R$3-1)</f>
        <v/>
      </c>
      <c r="S48" s="10">
        <f>(Assumptions!$B$77+(S46-1)*Assumptions!$B$73/12)*(1+Assumptions!$B$57)^(S$3-1)</f>
        <v/>
      </c>
      <c r="T48" s="10">
        <f>(Assumptions!$B$77+(T46-1)*Assumptions!$B$73/12)*(1+Assumptions!$B$57)^(T$3-1)</f>
        <v/>
      </c>
      <c r="U48" s="10">
        <f>(Assumptions!$B$77+(U46-1)*Assumptions!$B$73/12)*(1+Assumptions!$B$57)^(U$3-1)</f>
        <v/>
      </c>
      <c r="V48" s="10">
        <f>(Assumptions!$B$77+(V46-1)*Assumptions!$B$73/12)*(1+Assumptions!$B$57)^(V$3-1)</f>
        <v/>
      </c>
      <c r="W48" s="10">
        <f>(Assumptions!$B$77+(W46-1)*Assumptions!$B$73/12)*(1+Assumptions!$B$57)^(W$3-1)</f>
        <v/>
      </c>
      <c r="X48" s="10">
        <f>(Assumptions!$B$77+(X46-1)*Assumptions!$B$73/12)*(1+Assumptions!$B$57)^(X$3-1)</f>
        <v/>
      </c>
      <c r="Y48" s="10">
        <f>(Assumptions!$B$77+(Y46-1)*Assumptions!$B$73/12)*(1+Assumptions!$B$57)^(Y$3-1)</f>
        <v/>
      </c>
      <c r="Z48" s="10">
        <f>(Assumptions!$B$77+(Z46-1)*Assumptions!$B$73/12)*(1+Assumptions!$B$57)^(Z$3-1)</f>
        <v/>
      </c>
      <c r="AA48" s="10">
        <f>(Assumptions!$B$77+(AA46-1)*Assumptions!$B$73/12)*(1+Assumptions!$B$57)^(AA$3-1)</f>
        <v/>
      </c>
      <c r="AB48" s="10">
        <f>(Assumptions!$B$77+(AB46-1)*Assumptions!$B$73/12)*(1+Assumptions!$B$57)^(AB$3-1)</f>
        <v/>
      </c>
      <c r="AC48" s="10">
        <f>(Assumptions!$B$77+(AC46-1)*Assumptions!$B$73/12)*(1+Assumptions!$B$57)^(AC$3-1)</f>
        <v/>
      </c>
      <c r="AD48" s="10">
        <f>(Assumptions!$B$77+(AD46-1)*Assumptions!$B$73/12)*(1+Assumptions!$B$57)^(AD$3-1)</f>
        <v/>
      </c>
      <c r="AE48" s="10">
        <f>(Assumptions!$B$77+(AE46-1)*Assumptions!$B$73/12)*(1+Assumptions!$B$57)^(AE$3-1)</f>
        <v/>
      </c>
      <c r="AF48" s="10">
        <f>(Assumptions!$B$77+(AF46-1)*Assumptions!$B$73/12)*(1+Assumptions!$B$57)^(AF$3-1)</f>
        <v/>
      </c>
      <c r="AG48" s="10">
        <f>(Assumptions!$B$77+(AG46-1)*Assumptions!$B$73/12)*(1+Assumptions!$B$57)^(AG$3-1)</f>
        <v/>
      </c>
      <c r="AH48" s="10">
        <f>(Assumptions!$B$77+(AH46-1)*Assumptions!$B$73/12)*(1+Assumptions!$B$57)^(AH$3-1)</f>
        <v/>
      </c>
      <c r="AI48" s="10">
        <f>(Assumptions!$B$77+(AI46-1)*Assumptions!$B$73/12)*(1+Assumptions!$B$57)^(AI$3-1)</f>
        <v/>
      </c>
      <c r="AJ48" s="10">
        <f>(Assumptions!$B$77+(AJ46-1)*Assumptions!$B$73/12)*(1+Assumptions!$B$57)^(AJ$3-1)</f>
        <v/>
      </c>
      <c r="AK48" s="10">
        <f>(Assumptions!$B$77+(AK46-1)*Assumptions!$B$73/12)*(1+Assumptions!$B$57)^(AK$3-1)</f>
        <v/>
      </c>
      <c r="AL48" s="10">
        <f>(Assumptions!$B$77+(AL46-1)*Assumptions!$B$73/12)*(1+Assumptions!$B$57)^(AL$3-1)</f>
        <v/>
      </c>
    </row>
    <row r="49">
      <c r="A49" s="6" t="inlineStr">
        <is>
          <t>Workers compensation (on field payroll)</t>
        </is>
      </c>
      <c r="B49" s="11" t="inlineStr">
        <is>
          <t>$</t>
        </is>
      </c>
      <c r="C49" s="10">
        <f>(C40/1.15)*Assumptions!$B$74</f>
        <v/>
      </c>
      <c r="D49" s="10">
        <f>(D40/1.15)*Assumptions!$B$74</f>
        <v/>
      </c>
      <c r="E49" s="10">
        <f>(E40/1.15)*Assumptions!$B$74</f>
        <v/>
      </c>
      <c r="F49" s="10">
        <f>(F40/1.15)*Assumptions!$B$74</f>
        <v/>
      </c>
      <c r="G49" s="10">
        <f>(G40/1.15)*Assumptions!$B$74</f>
        <v/>
      </c>
      <c r="H49" s="10">
        <f>(H40/1.15)*Assumptions!$B$74</f>
        <v/>
      </c>
      <c r="I49" s="10">
        <f>(I40/1.15)*Assumptions!$B$74</f>
        <v/>
      </c>
      <c r="J49" s="10">
        <f>(J40/1.15)*Assumptions!$B$74</f>
        <v/>
      </c>
      <c r="K49" s="10">
        <f>(K40/1.15)*Assumptions!$B$74</f>
        <v/>
      </c>
      <c r="L49" s="10">
        <f>(L40/1.15)*Assumptions!$B$74</f>
        <v/>
      </c>
      <c r="M49" s="10">
        <f>(M40/1.15)*Assumptions!$B$74</f>
        <v/>
      </c>
      <c r="N49" s="10">
        <f>(N40/1.15)*Assumptions!$B$74</f>
        <v/>
      </c>
      <c r="O49" s="10">
        <f>(O40/1.15)*Assumptions!$B$74</f>
        <v/>
      </c>
      <c r="P49" s="10">
        <f>(P40/1.15)*Assumptions!$B$74</f>
        <v/>
      </c>
      <c r="Q49" s="10">
        <f>(Q40/1.15)*Assumptions!$B$74</f>
        <v/>
      </c>
      <c r="R49" s="10">
        <f>(R40/1.15)*Assumptions!$B$74</f>
        <v/>
      </c>
      <c r="S49" s="10">
        <f>(S40/1.15)*Assumptions!$B$74</f>
        <v/>
      </c>
      <c r="T49" s="10">
        <f>(T40/1.15)*Assumptions!$B$74</f>
        <v/>
      </c>
      <c r="U49" s="10">
        <f>(U40/1.15)*Assumptions!$B$74</f>
        <v/>
      </c>
      <c r="V49" s="10">
        <f>(V40/1.15)*Assumptions!$B$74</f>
        <v/>
      </c>
      <c r="W49" s="10">
        <f>(W40/1.15)*Assumptions!$B$74</f>
        <v/>
      </c>
      <c r="X49" s="10">
        <f>(X40/1.15)*Assumptions!$B$74</f>
        <v/>
      </c>
      <c r="Y49" s="10">
        <f>(Y40/1.15)*Assumptions!$B$74</f>
        <v/>
      </c>
      <c r="Z49" s="10">
        <f>(Z40/1.15)*Assumptions!$B$74</f>
        <v/>
      </c>
      <c r="AA49" s="10">
        <f>(AA40/1.15)*Assumptions!$B$74</f>
        <v/>
      </c>
      <c r="AB49" s="10">
        <f>(AB40/1.15)*Assumptions!$B$74</f>
        <v/>
      </c>
      <c r="AC49" s="10">
        <f>(AC40/1.15)*Assumptions!$B$74</f>
        <v/>
      </c>
      <c r="AD49" s="10">
        <f>(AD40/1.15)*Assumptions!$B$74</f>
        <v/>
      </c>
      <c r="AE49" s="10">
        <f>(AE40/1.15)*Assumptions!$B$74</f>
        <v/>
      </c>
      <c r="AF49" s="10">
        <f>(AF40/1.15)*Assumptions!$B$74</f>
        <v/>
      </c>
      <c r="AG49" s="10">
        <f>(AG40/1.15)*Assumptions!$B$74</f>
        <v/>
      </c>
      <c r="AH49" s="10">
        <f>(AH40/1.15)*Assumptions!$B$74</f>
        <v/>
      </c>
      <c r="AI49" s="10">
        <f>(AI40/1.15)*Assumptions!$B$74</f>
        <v/>
      </c>
      <c r="AJ49" s="10">
        <f>(AJ40/1.15)*Assumptions!$B$74</f>
        <v/>
      </c>
      <c r="AK49" s="10">
        <f>(AK40/1.15)*Assumptions!$B$74</f>
        <v/>
      </c>
      <c r="AL49" s="10">
        <f>(AL40/1.15)*Assumptions!$B$74</f>
        <v/>
      </c>
    </row>
    <row r="50">
      <c r="A50" s="6" t="inlineStr">
        <is>
          <t>Marketing</t>
        </is>
      </c>
      <c r="B50" s="11" t="inlineStr">
        <is>
          <t>$</t>
        </is>
      </c>
      <c r="C50" s="10">
        <f>IF(C$3=1,INDEX(Assumptions!$C$81:$N$81,1,C$4),IF(C$3=2,C20*Assumptions!$B$82,C20*Assumptions!$B$83))</f>
        <v/>
      </c>
      <c r="D50" s="10">
        <f>IF(D$3=1,INDEX(Assumptions!$C$81:$N$81,1,D$4),IF(D$3=2,D20*Assumptions!$B$82,D20*Assumptions!$B$83))</f>
        <v/>
      </c>
      <c r="E50" s="10">
        <f>IF(E$3=1,INDEX(Assumptions!$C$81:$N$81,1,E$4),IF(E$3=2,E20*Assumptions!$B$82,E20*Assumptions!$B$83))</f>
        <v/>
      </c>
      <c r="F50" s="10">
        <f>IF(F$3=1,INDEX(Assumptions!$C$81:$N$81,1,F$4),IF(F$3=2,F20*Assumptions!$B$82,F20*Assumptions!$B$83))</f>
        <v/>
      </c>
      <c r="G50" s="10">
        <f>IF(G$3=1,INDEX(Assumptions!$C$81:$N$81,1,G$4),IF(G$3=2,G20*Assumptions!$B$82,G20*Assumptions!$B$83))</f>
        <v/>
      </c>
      <c r="H50" s="10">
        <f>IF(H$3=1,INDEX(Assumptions!$C$81:$N$81,1,H$4),IF(H$3=2,H20*Assumptions!$B$82,H20*Assumptions!$B$83))</f>
        <v/>
      </c>
      <c r="I50" s="10">
        <f>IF(I$3=1,INDEX(Assumptions!$C$81:$N$81,1,I$4),IF(I$3=2,I20*Assumptions!$B$82,I20*Assumptions!$B$83))</f>
        <v/>
      </c>
      <c r="J50" s="10">
        <f>IF(J$3=1,INDEX(Assumptions!$C$81:$N$81,1,J$4),IF(J$3=2,J20*Assumptions!$B$82,J20*Assumptions!$B$83))</f>
        <v/>
      </c>
      <c r="K50" s="10">
        <f>IF(K$3=1,INDEX(Assumptions!$C$81:$N$81,1,K$4),IF(K$3=2,K20*Assumptions!$B$82,K20*Assumptions!$B$83))</f>
        <v/>
      </c>
      <c r="L50" s="10">
        <f>IF(L$3=1,INDEX(Assumptions!$C$81:$N$81,1,L$4),IF(L$3=2,L20*Assumptions!$B$82,L20*Assumptions!$B$83))</f>
        <v/>
      </c>
      <c r="M50" s="10">
        <f>IF(M$3=1,INDEX(Assumptions!$C$81:$N$81,1,M$4),IF(M$3=2,M20*Assumptions!$B$82,M20*Assumptions!$B$83))</f>
        <v/>
      </c>
      <c r="N50" s="10">
        <f>IF(N$3=1,INDEX(Assumptions!$C$81:$N$81,1,N$4),IF(N$3=2,N20*Assumptions!$B$82,N20*Assumptions!$B$83))</f>
        <v/>
      </c>
      <c r="O50" s="10">
        <f>IF(O$3=1,INDEX(Assumptions!$C$81:$N$81,1,O$4),IF(O$3=2,O20*Assumptions!$B$82,O20*Assumptions!$B$83))</f>
        <v/>
      </c>
      <c r="P50" s="10">
        <f>IF(P$3=1,INDEX(Assumptions!$C$81:$N$81,1,P$4),IF(P$3=2,P20*Assumptions!$B$82,P20*Assumptions!$B$83))</f>
        <v/>
      </c>
      <c r="Q50" s="10">
        <f>IF(Q$3=1,INDEX(Assumptions!$C$81:$N$81,1,Q$4),IF(Q$3=2,Q20*Assumptions!$B$82,Q20*Assumptions!$B$83))</f>
        <v/>
      </c>
      <c r="R50" s="10">
        <f>IF(R$3=1,INDEX(Assumptions!$C$81:$N$81,1,R$4),IF(R$3=2,R20*Assumptions!$B$82,R20*Assumptions!$B$83))</f>
        <v/>
      </c>
      <c r="S50" s="10">
        <f>IF(S$3=1,INDEX(Assumptions!$C$81:$N$81,1,S$4),IF(S$3=2,S20*Assumptions!$B$82,S20*Assumptions!$B$83))</f>
        <v/>
      </c>
      <c r="T50" s="10">
        <f>IF(T$3=1,INDEX(Assumptions!$C$81:$N$81,1,T$4),IF(T$3=2,T20*Assumptions!$B$82,T20*Assumptions!$B$83))</f>
        <v/>
      </c>
      <c r="U50" s="10">
        <f>IF(U$3=1,INDEX(Assumptions!$C$81:$N$81,1,U$4),IF(U$3=2,U20*Assumptions!$B$82,U20*Assumptions!$B$83))</f>
        <v/>
      </c>
      <c r="V50" s="10">
        <f>IF(V$3=1,INDEX(Assumptions!$C$81:$N$81,1,V$4),IF(V$3=2,V20*Assumptions!$B$82,V20*Assumptions!$B$83))</f>
        <v/>
      </c>
      <c r="W50" s="10">
        <f>IF(W$3=1,INDEX(Assumptions!$C$81:$N$81,1,W$4),IF(W$3=2,W20*Assumptions!$B$82,W20*Assumptions!$B$83))</f>
        <v/>
      </c>
      <c r="X50" s="10">
        <f>IF(X$3=1,INDEX(Assumptions!$C$81:$N$81,1,X$4),IF(X$3=2,X20*Assumptions!$B$82,X20*Assumptions!$B$83))</f>
        <v/>
      </c>
      <c r="Y50" s="10">
        <f>IF(Y$3=1,INDEX(Assumptions!$C$81:$N$81,1,Y$4),IF(Y$3=2,Y20*Assumptions!$B$82,Y20*Assumptions!$B$83))</f>
        <v/>
      </c>
      <c r="Z50" s="10">
        <f>IF(Z$3=1,INDEX(Assumptions!$C$81:$N$81,1,Z$4),IF(Z$3=2,Z20*Assumptions!$B$82,Z20*Assumptions!$B$83))</f>
        <v/>
      </c>
      <c r="AA50" s="10">
        <f>IF(AA$3=1,INDEX(Assumptions!$C$81:$N$81,1,AA$4),IF(AA$3=2,AA20*Assumptions!$B$82,AA20*Assumptions!$B$83))</f>
        <v/>
      </c>
      <c r="AB50" s="10">
        <f>IF(AB$3=1,INDEX(Assumptions!$C$81:$N$81,1,AB$4),IF(AB$3=2,AB20*Assumptions!$B$82,AB20*Assumptions!$B$83))</f>
        <v/>
      </c>
      <c r="AC50" s="10">
        <f>IF(AC$3=1,INDEX(Assumptions!$C$81:$N$81,1,AC$4),IF(AC$3=2,AC20*Assumptions!$B$82,AC20*Assumptions!$B$83))</f>
        <v/>
      </c>
      <c r="AD50" s="10">
        <f>IF(AD$3=1,INDEX(Assumptions!$C$81:$N$81,1,AD$4),IF(AD$3=2,AD20*Assumptions!$B$82,AD20*Assumptions!$B$83))</f>
        <v/>
      </c>
      <c r="AE50" s="10">
        <f>IF(AE$3=1,INDEX(Assumptions!$C$81:$N$81,1,AE$4),IF(AE$3=2,AE20*Assumptions!$B$82,AE20*Assumptions!$B$83))</f>
        <v/>
      </c>
      <c r="AF50" s="10">
        <f>IF(AF$3=1,INDEX(Assumptions!$C$81:$N$81,1,AF$4),IF(AF$3=2,AF20*Assumptions!$B$82,AF20*Assumptions!$B$83))</f>
        <v/>
      </c>
      <c r="AG50" s="10">
        <f>IF(AG$3=1,INDEX(Assumptions!$C$81:$N$81,1,AG$4),IF(AG$3=2,AG20*Assumptions!$B$82,AG20*Assumptions!$B$83))</f>
        <v/>
      </c>
      <c r="AH50" s="10">
        <f>IF(AH$3=1,INDEX(Assumptions!$C$81:$N$81,1,AH$4),IF(AH$3=2,AH20*Assumptions!$B$82,AH20*Assumptions!$B$83))</f>
        <v/>
      </c>
      <c r="AI50" s="10">
        <f>IF(AI$3=1,INDEX(Assumptions!$C$81:$N$81,1,AI$4),IF(AI$3=2,AI20*Assumptions!$B$82,AI20*Assumptions!$B$83))</f>
        <v/>
      </c>
      <c r="AJ50" s="10">
        <f>IF(AJ$3=1,INDEX(Assumptions!$C$81:$N$81,1,AJ$4),IF(AJ$3=2,AJ20*Assumptions!$B$82,AJ20*Assumptions!$B$83))</f>
        <v/>
      </c>
      <c r="AK50" s="10">
        <f>IF(AK$3=1,INDEX(Assumptions!$C$81:$N$81,1,AK$4),IF(AK$3=2,AK20*Assumptions!$B$82,AK20*Assumptions!$B$83))</f>
        <v/>
      </c>
      <c r="AL50" s="10">
        <f>IF(AL$3=1,INDEX(Assumptions!$C$81:$N$81,1,AL$4),IF(AL$3=2,AL20*Assumptions!$B$82,AL20*Assumptions!$B$83))</f>
        <v/>
      </c>
    </row>
    <row r="51">
      <c r="A51" s="6" t="inlineStr">
        <is>
          <t>Card and bank fees</t>
        </is>
      </c>
      <c r="B51" s="11" t="inlineStr">
        <is>
          <t>$</t>
        </is>
      </c>
      <c r="C51" s="10">
        <f>C20*Assumptions!$B$87</f>
        <v/>
      </c>
      <c r="D51" s="10">
        <f>D20*Assumptions!$B$87</f>
        <v/>
      </c>
      <c r="E51" s="10">
        <f>E20*Assumptions!$B$87</f>
        <v/>
      </c>
      <c r="F51" s="10">
        <f>F20*Assumptions!$B$87</f>
        <v/>
      </c>
      <c r="G51" s="10">
        <f>G20*Assumptions!$B$87</f>
        <v/>
      </c>
      <c r="H51" s="10">
        <f>H20*Assumptions!$B$87</f>
        <v/>
      </c>
      <c r="I51" s="10">
        <f>I20*Assumptions!$B$87</f>
        <v/>
      </c>
      <c r="J51" s="10">
        <f>J20*Assumptions!$B$87</f>
        <v/>
      </c>
      <c r="K51" s="10">
        <f>K20*Assumptions!$B$87</f>
        <v/>
      </c>
      <c r="L51" s="10">
        <f>L20*Assumptions!$B$87</f>
        <v/>
      </c>
      <c r="M51" s="10">
        <f>M20*Assumptions!$B$87</f>
        <v/>
      </c>
      <c r="N51" s="10">
        <f>N20*Assumptions!$B$87</f>
        <v/>
      </c>
      <c r="O51" s="10">
        <f>O20*Assumptions!$B$87</f>
        <v/>
      </c>
      <c r="P51" s="10">
        <f>P20*Assumptions!$B$87</f>
        <v/>
      </c>
      <c r="Q51" s="10">
        <f>Q20*Assumptions!$B$87</f>
        <v/>
      </c>
      <c r="R51" s="10">
        <f>R20*Assumptions!$B$87</f>
        <v/>
      </c>
      <c r="S51" s="10">
        <f>S20*Assumptions!$B$87</f>
        <v/>
      </c>
      <c r="T51" s="10">
        <f>T20*Assumptions!$B$87</f>
        <v/>
      </c>
      <c r="U51" s="10">
        <f>U20*Assumptions!$B$87</f>
        <v/>
      </c>
      <c r="V51" s="10">
        <f>V20*Assumptions!$B$87</f>
        <v/>
      </c>
      <c r="W51" s="10">
        <f>W20*Assumptions!$B$87</f>
        <v/>
      </c>
      <c r="X51" s="10">
        <f>X20*Assumptions!$B$87</f>
        <v/>
      </c>
      <c r="Y51" s="10">
        <f>Y20*Assumptions!$B$87</f>
        <v/>
      </c>
      <c r="Z51" s="10">
        <f>Z20*Assumptions!$B$87</f>
        <v/>
      </c>
      <c r="AA51" s="10">
        <f>AA20*Assumptions!$B$87</f>
        <v/>
      </c>
      <c r="AB51" s="10">
        <f>AB20*Assumptions!$B$87</f>
        <v/>
      </c>
      <c r="AC51" s="10">
        <f>AC20*Assumptions!$B$87</f>
        <v/>
      </c>
      <c r="AD51" s="10">
        <f>AD20*Assumptions!$B$87</f>
        <v/>
      </c>
      <c r="AE51" s="10">
        <f>AE20*Assumptions!$B$87</f>
        <v/>
      </c>
      <c r="AF51" s="10">
        <f>AF20*Assumptions!$B$87</f>
        <v/>
      </c>
      <c r="AG51" s="10">
        <f>AG20*Assumptions!$B$87</f>
        <v/>
      </c>
      <c r="AH51" s="10">
        <f>AH20*Assumptions!$B$87</f>
        <v/>
      </c>
      <c r="AI51" s="10">
        <f>AI20*Assumptions!$B$87</f>
        <v/>
      </c>
      <c r="AJ51" s="10">
        <f>AJ20*Assumptions!$B$87</f>
        <v/>
      </c>
      <c r="AK51" s="10">
        <f>AK20*Assumptions!$B$87</f>
        <v/>
      </c>
      <c r="AL51" s="10">
        <f>AL20*Assumptions!$B$87</f>
        <v/>
      </c>
    </row>
    <row r="52">
      <c r="A52" s="6" t="inlineStr">
        <is>
          <t>Depreciation (vans)</t>
        </is>
      </c>
      <c r="B52" s="11" t="inlineStr">
        <is>
          <t>$</t>
        </is>
      </c>
      <c r="C52" s="10">
        <f>C46*Assumptions!$B$65</f>
        <v/>
      </c>
      <c r="D52" s="10">
        <f>D46*Assumptions!$B$65</f>
        <v/>
      </c>
      <c r="E52" s="10">
        <f>E46*Assumptions!$B$65</f>
        <v/>
      </c>
      <c r="F52" s="10">
        <f>F46*Assumptions!$B$65</f>
        <v/>
      </c>
      <c r="G52" s="10">
        <f>G46*Assumptions!$B$65</f>
        <v/>
      </c>
      <c r="H52" s="10">
        <f>H46*Assumptions!$B$65</f>
        <v/>
      </c>
      <c r="I52" s="10">
        <f>I46*Assumptions!$B$65</f>
        <v/>
      </c>
      <c r="J52" s="10">
        <f>J46*Assumptions!$B$65</f>
        <v/>
      </c>
      <c r="K52" s="10">
        <f>K46*Assumptions!$B$65</f>
        <v/>
      </c>
      <c r="L52" s="10">
        <f>L46*Assumptions!$B$65</f>
        <v/>
      </c>
      <c r="M52" s="10">
        <f>M46*Assumptions!$B$65</f>
        <v/>
      </c>
      <c r="N52" s="10">
        <f>N46*Assumptions!$B$65</f>
        <v/>
      </c>
      <c r="O52" s="10">
        <f>O46*Assumptions!$B$65</f>
        <v/>
      </c>
      <c r="P52" s="10">
        <f>P46*Assumptions!$B$65</f>
        <v/>
      </c>
      <c r="Q52" s="10">
        <f>Q46*Assumptions!$B$65</f>
        <v/>
      </c>
      <c r="R52" s="10">
        <f>R46*Assumptions!$B$65</f>
        <v/>
      </c>
      <c r="S52" s="10">
        <f>S46*Assumptions!$B$65</f>
        <v/>
      </c>
      <c r="T52" s="10">
        <f>T46*Assumptions!$B$65</f>
        <v/>
      </c>
      <c r="U52" s="10">
        <f>U46*Assumptions!$B$65</f>
        <v/>
      </c>
      <c r="V52" s="10">
        <f>V46*Assumptions!$B$65</f>
        <v/>
      </c>
      <c r="W52" s="10">
        <f>W46*Assumptions!$B$65</f>
        <v/>
      </c>
      <c r="X52" s="10">
        <f>X46*Assumptions!$B$65</f>
        <v/>
      </c>
      <c r="Y52" s="10">
        <f>Y46*Assumptions!$B$65</f>
        <v/>
      </c>
      <c r="Z52" s="10">
        <f>Z46*Assumptions!$B$65</f>
        <v/>
      </c>
      <c r="AA52" s="10">
        <f>AA46*Assumptions!$B$65</f>
        <v/>
      </c>
      <c r="AB52" s="10">
        <f>AB46*Assumptions!$B$65</f>
        <v/>
      </c>
      <c r="AC52" s="10">
        <f>AC46*Assumptions!$B$65</f>
        <v/>
      </c>
      <c r="AD52" s="10">
        <f>AD46*Assumptions!$B$65</f>
        <v/>
      </c>
      <c r="AE52" s="10">
        <f>AE46*Assumptions!$B$65</f>
        <v/>
      </c>
      <c r="AF52" s="10">
        <f>AF46*Assumptions!$B$65</f>
        <v/>
      </c>
      <c r="AG52" s="10">
        <f>AG46*Assumptions!$B$65</f>
        <v/>
      </c>
      <c r="AH52" s="10">
        <f>AH46*Assumptions!$B$65</f>
        <v/>
      </c>
      <c r="AI52" s="10">
        <f>AI46*Assumptions!$B$65</f>
        <v/>
      </c>
      <c r="AJ52" s="10">
        <f>AJ46*Assumptions!$B$65</f>
        <v/>
      </c>
      <c r="AK52" s="10">
        <f>AK46*Assumptions!$B$65</f>
        <v/>
      </c>
      <c r="AL52" s="10">
        <f>AL46*Assumptions!$B$65</f>
        <v/>
      </c>
    </row>
    <row r="53">
      <c r="A53" s="6" t="inlineStr">
        <is>
          <t>Interest on van loans</t>
        </is>
      </c>
      <c r="B53" s="11" t="inlineStr">
        <is>
          <t>$</t>
        </is>
      </c>
      <c r="C53" s="10">
        <f>-IPMT(Assumptions!$B$62/12,C$4,Assumptions!$B$63,Assumptions!$B$60-Assumptions!$B$61)*IF(C$4&lt;=Assumptions!$B$63,1,0)-IF(C$4&gt;=Assumptions!$B$68,IPMT(Assumptions!$B$62/12,C$4-Assumptions!$B$68+1,Assumptions!$B$63,Assumptions!$B$60-Assumptions!$B$61),0)</f>
        <v/>
      </c>
      <c r="D53" s="10">
        <f>-IPMT(Assumptions!$B$62/12,D$4,Assumptions!$B$63,Assumptions!$B$60-Assumptions!$B$61)*IF(D$4&lt;=Assumptions!$B$63,1,0)-IF(D$4&gt;=Assumptions!$B$68,IPMT(Assumptions!$B$62/12,D$4-Assumptions!$B$68+1,Assumptions!$B$63,Assumptions!$B$60-Assumptions!$B$61),0)</f>
        <v/>
      </c>
      <c r="E53" s="10">
        <f>-IPMT(Assumptions!$B$62/12,E$4,Assumptions!$B$63,Assumptions!$B$60-Assumptions!$B$61)*IF(E$4&lt;=Assumptions!$B$63,1,0)-IF(E$4&gt;=Assumptions!$B$68,IPMT(Assumptions!$B$62/12,E$4-Assumptions!$B$68+1,Assumptions!$B$63,Assumptions!$B$60-Assumptions!$B$61),0)</f>
        <v/>
      </c>
      <c r="F53" s="10">
        <f>-IPMT(Assumptions!$B$62/12,F$4,Assumptions!$B$63,Assumptions!$B$60-Assumptions!$B$61)*IF(F$4&lt;=Assumptions!$B$63,1,0)-IF(F$4&gt;=Assumptions!$B$68,IPMT(Assumptions!$B$62/12,F$4-Assumptions!$B$68+1,Assumptions!$B$63,Assumptions!$B$60-Assumptions!$B$61),0)</f>
        <v/>
      </c>
      <c r="G53" s="10">
        <f>-IPMT(Assumptions!$B$62/12,G$4,Assumptions!$B$63,Assumptions!$B$60-Assumptions!$B$61)*IF(G$4&lt;=Assumptions!$B$63,1,0)-IF(G$4&gt;=Assumptions!$B$68,IPMT(Assumptions!$B$62/12,G$4-Assumptions!$B$68+1,Assumptions!$B$63,Assumptions!$B$60-Assumptions!$B$61),0)</f>
        <v/>
      </c>
      <c r="H53" s="10">
        <f>-IPMT(Assumptions!$B$62/12,H$4,Assumptions!$B$63,Assumptions!$B$60-Assumptions!$B$61)*IF(H$4&lt;=Assumptions!$B$63,1,0)-IF(H$4&gt;=Assumptions!$B$68,IPMT(Assumptions!$B$62/12,H$4-Assumptions!$B$68+1,Assumptions!$B$63,Assumptions!$B$60-Assumptions!$B$61),0)</f>
        <v/>
      </c>
      <c r="I53" s="10">
        <f>-IPMT(Assumptions!$B$62/12,I$4,Assumptions!$B$63,Assumptions!$B$60-Assumptions!$B$61)*IF(I$4&lt;=Assumptions!$B$63,1,0)-IF(I$4&gt;=Assumptions!$B$68,IPMT(Assumptions!$B$62/12,I$4-Assumptions!$B$68+1,Assumptions!$B$63,Assumptions!$B$60-Assumptions!$B$61),0)</f>
        <v/>
      </c>
      <c r="J53" s="10">
        <f>-IPMT(Assumptions!$B$62/12,J$4,Assumptions!$B$63,Assumptions!$B$60-Assumptions!$B$61)*IF(J$4&lt;=Assumptions!$B$63,1,0)-IF(J$4&gt;=Assumptions!$B$68,IPMT(Assumptions!$B$62/12,J$4-Assumptions!$B$68+1,Assumptions!$B$63,Assumptions!$B$60-Assumptions!$B$61),0)</f>
        <v/>
      </c>
      <c r="K53" s="10">
        <f>-IPMT(Assumptions!$B$62/12,K$4,Assumptions!$B$63,Assumptions!$B$60-Assumptions!$B$61)*IF(K$4&lt;=Assumptions!$B$63,1,0)-IF(K$4&gt;=Assumptions!$B$68,IPMT(Assumptions!$B$62/12,K$4-Assumptions!$B$68+1,Assumptions!$B$63,Assumptions!$B$60-Assumptions!$B$61),0)</f>
        <v/>
      </c>
      <c r="L53" s="10">
        <f>-IPMT(Assumptions!$B$62/12,L$4,Assumptions!$B$63,Assumptions!$B$60-Assumptions!$B$61)*IF(L$4&lt;=Assumptions!$B$63,1,0)-IF(L$4&gt;=Assumptions!$B$68,IPMT(Assumptions!$B$62/12,L$4-Assumptions!$B$68+1,Assumptions!$B$63,Assumptions!$B$60-Assumptions!$B$61),0)</f>
        <v/>
      </c>
      <c r="M53" s="10">
        <f>-IPMT(Assumptions!$B$62/12,M$4,Assumptions!$B$63,Assumptions!$B$60-Assumptions!$B$61)*IF(M$4&lt;=Assumptions!$B$63,1,0)-IF(M$4&gt;=Assumptions!$B$68,IPMT(Assumptions!$B$62/12,M$4-Assumptions!$B$68+1,Assumptions!$B$63,Assumptions!$B$60-Assumptions!$B$61),0)</f>
        <v/>
      </c>
      <c r="N53" s="10">
        <f>-IPMT(Assumptions!$B$62/12,N$4,Assumptions!$B$63,Assumptions!$B$60-Assumptions!$B$61)*IF(N$4&lt;=Assumptions!$B$63,1,0)-IF(N$4&gt;=Assumptions!$B$68,IPMT(Assumptions!$B$62/12,N$4-Assumptions!$B$68+1,Assumptions!$B$63,Assumptions!$B$60-Assumptions!$B$61),0)</f>
        <v/>
      </c>
      <c r="O53" s="10">
        <f>-IPMT(Assumptions!$B$62/12,O$4,Assumptions!$B$63,Assumptions!$B$60-Assumptions!$B$61)*IF(O$4&lt;=Assumptions!$B$63,1,0)-IF(O$4&gt;=Assumptions!$B$68,IPMT(Assumptions!$B$62/12,O$4-Assumptions!$B$68+1,Assumptions!$B$63,Assumptions!$B$60-Assumptions!$B$61),0)</f>
        <v/>
      </c>
      <c r="P53" s="10">
        <f>-IPMT(Assumptions!$B$62/12,P$4,Assumptions!$B$63,Assumptions!$B$60-Assumptions!$B$61)*IF(P$4&lt;=Assumptions!$B$63,1,0)-IF(P$4&gt;=Assumptions!$B$68,IPMT(Assumptions!$B$62/12,P$4-Assumptions!$B$68+1,Assumptions!$B$63,Assumptions!$B$60-Assumptions!$B$61),0)</f>
        <v/>
      </c>
      <c r="Q53" s="10">
        <f>-IPMT(Assumptions!$B$62/12,Q$4,Assumptions!$B$63,Assumptions!$B$60-Assumptions!$B$61)*IF(Q$4&lt;=Assumptions!$B$63,1,0)-IF(Q$4&gt;=Assumptions!$B$68,IPMT(Assumptions!$B$62/12,Q$4-Assumptions!$B$68+1,Assumptions!$B$63,Assumptions!$B$60-Assumptions!$B$61),0)</f>
        <v/>
      </c>
      <c r="R53" s="10">
        <f>-IPMT(Assumptions!$B$62/12,R$4,Assumptions!$B$63,Assumptions!$B$60-Assumptions!$B$61)*IF(R$4&lt;=Assumptions!$B$63,1,0)-IF(R$4&gt;=Assumptions!$B$68,IPMT(Assumptions!$B$62/12,R$4-Assumptions!$B$68+1,Assumptions!$B$63,Assumptions!$B$60-Assumptions!$B$61),0)</f>
        <v/>
      </c>
      <c r="S53" s="10">
        <f>-IPMT(Assumptions!$B$62/12,S$4,Assumptions!$B$63,Assumptions!$B$60-Assumptions!$B$61)*IF(S$4&lt;=Assumptions!$B$63,1,0)-IF(S$4&gt;=Assumptions!$B$68,IPMT(Assumptions!$B$62/12,S$4-Assumptions!$B$68+1,Assumptions!$B$63,Assumptions!$B$60-Assumptions!$B$61),0)</f>
        <v/>
      </c>
      <c r="T53" s="10">
        <f>-IPMT(Assumptions!$B$62/12,T$4,Assumptions!$B$63,Assumptions!$B$60-Assumptions!$B$61)*IF(T$4&lt;=Assumptions!$B$63,1,0)-IF(T$4&gt;=Assumptions!$B$68,IPMT(Assumptions!$B$62/12,T$4-Assumptions!$B$68+1,Assumptions!$B$63,Assumptions!$B$60-Assumptions!$B$61),0)</f>
        <v/>
      </c>
      <c r="U53" s="10">
        <f>-IPMT(Assumptions!$B$62/12,U$4,Assumptions!$B$63,Assumptions!$B$60-Assumptions!$B$61)*IF(U$4&lt;=Assumptions!$B$63,1,0)-IF(U$4&gt;=Assumptions!$B$68,IPMT(Assumptions!$B$62/12,U$4-Assumptions!$B$68+1,Assumptions!$B$63,Assumptions!$B$60-Assumptions!$B$61),0)</f>
        <v/>
      </c>
      <c r="V53" s="10">
        <f>-IPMT(Assumptions!$B$62/12,V$4,Assumptions!$B$63,Assumptions!$B$60-Assumptions!$B$61)*IF(V$4&lt;=Assumptions!$B$63,1,0)-IF(V$4&gt;=Assumptions!$B$68,IPMT(Assumptions!$B$62/12,V$4-Assumptions!$B$68+1,Assumptions!$B$63,Assumptions!$B$60-Assumptions!$B$61),0)</f>
        <v/>
      </c>
      <c r="W53" s="10">
        <f>-IPMT(Assumptions!$B$62/12,W$4,Assumptions!$B$63,Assumptions!$B$60-Assumptions!$B$61)*IF(W$4&lt;=Assumptions!$B$63,1,0)-IF(W$4&gt;=Assumptions!$B$68,IPMT(Assumptions!$B$62/12,W$4-Assumptions!$B$68+1,Assumptions!$B$63,Assumptions!$B$60-Assumptions!$B$61),0)</f>
        <v/>
      </c>
      <c r="X53" s="10">
        <f>-IPMT(Assumptions!$B$62/12,X$4,Assumptions!$B$63,Assumptions!$B$60-Assumptions!$B$61)*IF(X$4&lt;=Assumptions!$B$63,1,0)-IF(X$4&gt;=Assumptions!$B$68,IPMT(Assumptions!$B$62/12,X$4-Assumptions!$B$68+1,Assumptions!$B$63,Assumptions!$B$60-Assumptions!$B$61),0)</f>
        <v/>
      </c>
      <c r="Y53" s="10">
        <f>-IPMT(Assumptions!$B$62/12,Y$4,Assumptions!$B$63,Assumptions!$B$60-Assumptions!$B$61)*IF(Y$4&lt;=Assumptions!$B$63,1,0)-IF(Y$4&gt;=Assumptions!$B$68,IPMT(Assumptions!$B$62/12,Y$4-Assumptions!$B$68+1,Assumptions!$B$63,Assumptions!$B$60-Assumptions!$B$61),0)</f>
        <v/>
      </c>
      <c r="Z53" s="10">
        <f>-IPMT(Assumptions!$B$62/12,Z$4,Assumptions!$B$63,Assumptions!$B$60-Assumptions!$B$61)*IF(Z$4&lt;=Assumptions!$B$63,1,0)-IF(Z$4&gt;=Assumptions!$B$68,IPMT(Assumptions!$B$62/12,Z$4-Assumptions!$B$68+1,Assumptions!$B$63,Assumptions!$B$60-Assumptions!$B$61),0)</f>
        <v/>
      </c>
      <c r="AA53" s="10">
        <f>-IPMT(Assumptions!$B$62/12,AA$4,Assumptions!$B$63,Assumptions!$B$60-Assumptions!$B$61)*IF(AA$4&lt;=Assumptions!$B$63,1,0)-IF(AA$4&gt;=Assumptions!$B$68,IPMT(Assumptions!$B$62/12,AA$4-Assumptions!$B$68+1,Assumptions!$B$63,Assumptions!$B$60-Assumptions!$B$61),0)</f>
        <v/>
      </c>
      <c r="AB53" s="10">
        <f>-IPMT(Assumptions!$B$62/12,AB$4,Assumptions!$B$63,Assumptions!$B$60-Assumptions!$B$61)*IF(AB$4&lt;=Assumptions!$B$63,1,0)-IF(AB$4&gt;=Assumptions!$B$68,IPMT(Assumptions!$B$62/12,AB$4-Assumptions!$B$68+1,Assumptions!$B$63,Assumptions!$B$60-Assumptions!$B$61),0)</f>
        <v/>
      </c>
      <c r="AC53" s="10">
        <f>-IPMT(Assumptions!$B$62/12,AC$4,Assumptions!$B$63,Assumptions!$B$60-Assumptions!$B$61)*IF(AC$4&lt;=Assumptions!$B$63,1,0)-IF(AC$4&gt;=Assumptions!$B$68,IPMT(Assumptions!$B$62/12,AC$4-Assumptions!$B$68+1,Assumptions!$B$63,Assumptions!$B$60-Assumptions!$B$61),0)</f>
        <v/>
      </c>
      <c r="AD53" s="10">
        <f>-IPMT(Assumptions!$B$62/12,AD$4,Assumptions!$B$63,Assumptions!$B$60-Assumptions!$B$61)*IF(AD$4&lt;=Assumptions!$B$63,1,0)-IF(AD$4&gt;=Assumptions!$B$68,IPMT(Assumptions!$B$62/12,AD$4-Assumptions!$B$68+1,Assumptions!$B$63,Assumptions!$B$60-Assumptions!$B$61),0)</f>
        <v/>
      </c>
      <c r="AE53" s="10">
        <f>-IPMT(Assumptions!$B$62/12,AE$4,Assumptions!$B$63,Assumptions!$B$60-Assumptions!$B$61)*IF(AE$4&lt;=Assumptions!$B$63,1,0)-IF(AE$4&gt;=Assumptions!$B$68,IPMT(Assumptions!$B$62/12,AE$4-Assumptions!$B$68+1,Assumptions!$B$63,Assumptions!$B$60-Assumptions!$B$61),0)</f>
        <v/>
      </c>
      <c r="AF53" s="10">
        <f>-IPMT(Assumptions!$B$62/12,AF$4,Assumptions!$B$63,Assumptions!$B$60-Assumptions!$B$61)*IF(AF$4&lt;=Assumptions!$B$63,1,0)-IF(AF$4&gt;=Assumptions!$B$68,IPMT(Assumptions!$B$62/12,AF$4-Assumptions!$B$68+1,Assumptions!$B$63,Assumptions!$B$60-Assumptions!$B$61),0)</f>
        <v/>
      </c>
      <c r="AG53" s="10">
        <f>-IPMT(Assumptions!$B$62/12,AG$4,Assumptions!$B$63,Assumptions!$B$60-Assumptions!$B$61)*IF(AG$4&lt;=Assumptions!$B$63,1,0)-IF(AG$4&gt;=Assumptions!$B$68,IPMT(Assumptions!$B$62/12,AG$4-Assumptions!$B$68+1,Assumptions!$B$63,Assumptions!$B$60-Assumptions!$B$61),0)</f>
        <v/>
      </c>
      <c r="AH53" s="10">
        <f>-IPMT(Assumptions!$B$62/12,AH$4,Assumptions!$B$63,Assumptions!$B$60-Assumptions!$B$61)*IF(AH$4&lt;=Assumptions!$B$63,1,0)-IF(AH$4&gt;=Assumptions!$B$68,IPMT(Assumptions!$B$62/12,AH$4-Assumptions!$B$68+1,Assumptions!$B$63,Assumptions!$B$60-Assumptions!$B$61),0)</f>
        <v/>
      </c>
      <c r="AI53" s="10">
        <f>-IPMT(Assumptions!$B$62/12,AI$4,Assumptions!$B$63,Assumptions!$B$60-Assumptions!$B$61)*IF(AI$4&lt;=Assumptions!$B$63,1,0)-IF(AI$4&gt;=Assumptions!$B$68,IPMT(Assumptions!$B$62/12,AI$4-Assumptions!$B$68+1,Assumptions!$B$63,Assumptions!$B$60-Assumptions!$B$61),0)</f>
        <v/>
      </c>
      <c r="AJ53" s="10">
        <f>-IPMT(Assumptions!$B$62/12,AJ$4,Assumptions!$B$63,Assumptions!$B$60-Assumptions!$B$61)*IF(AJ$4&lt;=Assumptions!$B$63,1,0)-IF(AJ$4&gt;=Assumptions!$B$68,IPMT(Assumptions!$B$62/12,AJ$4-Assumptions!$B$68+1,Assumptions!$B$63,Assumptions!$B$60-Assumptions!$B$61),0)</f>
        <v/>
      </c>
      <c r="AK53" s="10">
        <f>-IPMT(Assumptions!$B$62/12,AK$4,Assumptions!$B$63,Assumptions!$B$60-Assumptions!$B$61)*IF(AK$4&lt;=Assumptions!$B$63,1,0)-IF(AK$4&gt;=Assumptions!$B$68,IPMT(Assumptions!$B$62/12,AK$4-Assumptions!$B$68+1,Assumptions!$B$63,Assumptions!$B$60-Assumptions!$B$61),0)</f>
        <v/>
      </c>
      <c r="AL53" s="10">
        <f>-IPMT(Assumptions!$B$62/12,AL$4,Assumptions!$B$63,Assumptions!$B$60-Assumptions!$B$61)*IF(AL$4&lt;=Assumptions!$B$63,1,0)-IF(AL$4&gt;=Assumptions!$B$68,IPMT(Assumptions!$B$62/12,AL$4-Assumptions!$B$68+1,Assumptions!$B$63,Assumptions!$B$60-Assumptions!$B$61),0)</f>
        <v/>
      </c>
    </row>
    <row r="54">
      <c r="A54" s="12" t="inlineStr">
        <is>
          <t>Total operating expenses</t>
        </is>
      </c>
      <c r="B54" s="11" t="inlineStr">
        <is>
          <t>$</t>
        </is>
      </c>
      <c r="C54" s="27">
        <f>SUM(C44:C45)+SUM(C47:C53)</f>
        <v/>
      </c>
      <c r="D54" s="27">
        <f>SUM(D44:D45)+SUM(D47:D53)</f>
        <v/>
      </c>
      <c r="E54" s="27">
        <f>SUM(E44:E45)+SUM(E47:E53)</f>
        <v/>
      </c>
      <c r="F54" s="27">
        <f>SUM(F44:F45)+SUM(F47:F53)</f>
        <v/>
      </c>
      <c r="G54" s="27">
        <f>SUM(G44:G45)+SUM(G47:G53)</f>
        <v/>
      </c>
      <c r="H54" s="27">
        <f>SUM(H44:H45)+SUM(H47:H53)</f>
        <v/>
      </c>
      <c r="I54" s="27">
        <f>SUM(I44:I45)+SUM(I47:I53)</f>
        <v/>
      </c>
      <c r="J54" s="27">
        <f>SUM(J44:J45)+SUM(J47:J53)</f>
        <v/>
      </c>
      <c r="K54" s="27">
        <f>SUM(K44:K45)+SUM(K47:K53)</f>
        <v/>
      </c>
      <c r="L54" s="27">
        <f>SUM(L44:L45)+SUM(L47:L53)</f>
        <v/>
      </c>
      <c r="M54" s="27">
        <f>SUM(M44:M45)+SUM(M47:M53)</f>
        <v/>
      </c>
      <c r="N54" s="27">
        <f>SUM(N44:N45)+SUM(N47:N53)</f>
        <v/>
      </c>
      <c r="O54" s="27">
        <f>SUM(O44:O45)+SUM(O47:O53)</f>
        <v/>
      </c>
      <c r="P54" s="27">
        <f>SUM(P44:P45)+SUM(P47:P53)</f>
        <v/>
      </c>
      <c r="Q54" s="27">
        <f>SUM(Q44:Q45)+SUM(Q47:Q53)</f>
        <v/>
      </c>
      <c r="R54" s="27">
        <f>SUM(R44:R45)+SUM(R47:R53)</f>
        <v/>
      </c>
      <c r="S54" s="27">
        <f>SUM(S44:S45)+SUM(S47:S53)</f>
        <v/>
      </c>
      <c r="T54" s="27">
        <f>SUM(T44:T45)+SUM(T47:T53)</f>
        <v/>
      </c>
      <c r="U54" s="27">
        <f>SUM(U44:U45)+SUM(U47:U53)</f>
        <v/>
      </c>
      <c r="V54" s="27">
        <f>SUM(V44:V45)+SUM(V47:V53)</f>
        <v/>
      </c>
      <c r="W54" s="27">
        <f>SUM(W44:W45)+SUM(W47:W53)</f>
        <v/>
      </c>
      <c r="X54" s="27">
        <f>SUM(X44:X45)+SUM(X47:X53)</f>
        <v/>
      </c>
      <c r="Y54" s="27">
        <f>SUM(Y44:Y45)+SUM(Y47:Y53)</f>
        <v/>
      </c>
      <c r="Z54" s="27">
        <f>SUM(Z44:Z45)+SUM(Z47:Z53)</f>
        <v/>
      </c>
      <c r="AA54" s="27">
        <f>SUM(AA44:AA45)+SUM(AA47:AA53)</f>
        <v/>
      </c>
      <c r="AB54" s="27">
        <f>SUM(AB44:AB45)+SUM(AB47:AB53)</f>
        <v/>
      </c>
      <c r="AC54" s="27">
        <f>SUM(AC44:AC45)+SUM(AC47:AC53)</f>
        <v/>
      </c>
      <c r="AD54" s="27">
        <f>SUM(AD44:AD45)+SUM(AD47:AD53)</f>
        <v/>
      </c>
      <c r="AE54" s="27">
        <f>SUM(AE44:AE45)+SUM(AE47:AE53)</f>
        <v/>
      </c>
      <c r="AF54" s="27">
        <f>SUM(AF44:AF45)+SUM(AF47:AF53)</f>
        <v/>
      </c>
      <c r="AG54" s="27">
        <f>SUM(AG44:AG45)+SUM(AG47:AG53)</f>
        <v/>
      </c>
      <c r="AH54" s="27">
        <f>SUM(AH44:AH45)+SUM(AH47:AH53)</f>
        <v/>
      </c>
      <c r="AI54" s="27">
        <f>SUM(AI44:AI45)+SUM(AI47:AI53)</f>
        <v/>
      </c>
      <c r="AJ54" s="27">
        <f>SUM(AJ44:AJ45)+SUM(AJ47:AJ53)</f>
        <v/>
      </c>
      <c r="AK54" s="27">
        <f>SUM(AK44:AK45)+SUM(AK47:AK53)</f>
        <v/>
      </c>
      <c r="AL54" s="27">
        <f>SUM(AL44:AL45)+SUM(AL47:AL53)</f>
        <v/>
      </c>
    </row>
    <row r="55">
      <c r="A55" s="12" t="inlineStr">
        <is>
          <t>Operating profit before owner compensation</t>
        </is>
      </c>
      <c r="B55" s="11" t="inlineStr">
        <is>
          <t>$</t>
        </is>
      </c>
      <c r="C55" s="15">
        <f>C41-C54</f>
        <v/>
      </c>
      <c r="D55" s="15">
        <f>D41-D54</f>
        <v/>
      </c>
      <c r="E55" s="15">
        <f>E41-E54</f>
        <v/>
      </c>
      <c r="F55" s="15">
        <f>F41-F54</f>
        <v/>
      </c>
      <c r="G55" s="15">
        <f>G41-G54</f>
        <v/>
      </c>
      <c r="H55" s="15">
        <f>H41-H54</f>
        <v/>
      </c>
      <c r="I55" s="15">
        <f>I41-I54</f>
        <v/>
      </c>
      <c r="J55" s="15">
        <f>J41-J54</f>
        <v/>
      </c>
      <c r="K55" s="15">
        <f>K41-K54</f>
        <v/>
      </c>
      <c r="L55" s="15">
        <f>L41-L54</f>
        <v/>
      </c>
      <c r="M55" s="15">
        <f>M41-M54</f>
        <v/>
      </c>
      <c r="N55" s="15">
        <f>N41-N54</f>
        <v/>
      </c>
      <c r="O55" s="15">
        <f>O41-O54</f>
        <v/>
      </c>
      <c r="P55" s="15">
        <f>P41-P54</f>
        <v/>
      </c>
      <c r="Q55" s="15">
        <f>Q41-Q54</f>
        <v/>
      </c>
      <c r="R55" s="15">
        <f>R41-R54</f>
        <v/>
      </c>
      <c r="S55" s="15">
        <f>S41-S54</f>
        <v/>
      </c>
      <c r="T55" s="15">
        <f>T41-T54</f>
        <v/>
      </c>
      <c r="U55" s="15">
        <f>U41-U54</f>
        <v/>
      </c>
      <c r="V55" s="15">
        <f>V41-V54</f>
        <v/>
      </c>
      <c r="W55" s="15">
        <f>W41-W54</f>
        <v/>
      </c>
      <c r="X55" s="15">
        <f>X41-X54</f>
        <v/>
      </c>
      <c r="Y55" s="15">
        <f>Y41-Y54</f>
        <v/>
      </c>
      <c r="Z55" s="15">
        <f>Z41-Z54</f>
        <v/>
      </c>
      <c r="AA55" s="15">
        <f>AA41-AA54</f>
        <v/>
      </c>
      <c r="AB55" s="15">
        <f>AB41-AB54</f>
        <v/>
      </c>
      <c r="AC55" s="15">
        <f>AC41-AC54</f>
        <v/>
      </c>
      <c r="AD55" s="15">
        <f>AD41-AD54</f>
        <v/>
      </c>
      <c r="AE55" s="15">
        <f>AE41-AE54</f>
        <v/>
      </c>
      <c r="AF55" s="15">
        <f>AF41-AF54</f>
        <v/>
      </c>
      <c r="AG55" s="15">
        <f>AG41-AG54</f>
        <v/>
      </c>
      <c r="AH55" s="15">
        <f>AH41-AH54</f>
        <v/>
      </c>
      <c r="AI55" s="15">
        <f>AI41-AI54</f>
        <v/>
      </c>
      <c r="AJ55" s="15">
        <f>AJ41-AJ54</f>
        <v/>
      </c>
      <c r="AK55" s="15">
        <f>AK41-AK54</f>
        <v/>
      </c>
      <c r="AL55" s="15">
        <f>AL41-AL54</f>
        <v/>
      </c>
    </row>
    <row r="56">
      <c r="A56" s="6" t="inlineStr">
        <is>
          <t>Owner draw (salary)</t>
        </is>
      </c>
      <c r="B56" s="11" t="inlineStr">
        <is>
          <t>$</t>
        </is>
      </c>
      <c r="C56" s="10">
        <f>IF(C$3=1,IF(C$4&lt;=3,Assumptions!$B$37,IF(C$4&lt;=6,Assumptions!$B$38,Assumptions!$B$39)),IF(C$3=2,Assumptions!$B$40,Assumptions!$B$41))</f>
        <v/>
      </c>
      <c r="D56" s="10">
        <f>IF(D$3=1,IF(D$4&lt;=3,Assumptions!$B$37,IF(D$4&lt;=6,Assumptions!$B$38,Assumptions!$B$39)),IF(D$3=2,Assumptions!$B$40,Assumptions!$B$41))</f>
        <v/>
      </c>
      <c r="E56" s="10">
        <f>IF(E$3=1,IF(E$4&lt;=3,Assumptions!$B$37,IF(E$4&lt;=6,Assumptions!$B$38,Assumptions!$B$39)),IF(E$3=2,Assumptions!$B$40,Assumptions!$B$41))</f>
        <v/>
      </c>
      <c r="F56" s="10">
        <f>IF(F$3=1,IF(F$4&lt;=3,Assumptions!$B$37,IF(F$4&lt;=6,Assumptions!$B$38,Assumptions!$B$39)),IF(F$3=2,Assumptions!$B$40,Assumptions!$B$41))</f>
        <v/>
      </c>
      <c r="G56" s="10">
        <f>IF(G$3=1,IF(G$4&lt;=3,Assumptions!$B$37,IF(G$4&lt;=6,Assumptions!$B$38,Assumptions!$B$39)),IF(G$3=2,Assumptions!$B$40,Assumptions!$B$41))</f>
        <v/>
      </c>
      <c r="H56" s="10">
        <f>IF(H$3=1,IF(H$4&lt;=3,Assumptions!$B$37,IF(H$4&lt;=6,Assumptions!$B$38,Assumptions!$B$39)),IF(H$3=2,Assumptions!$B$40,Assumptions!$B$41))</f>
        <v/>
      </c>
      <c r="I56" s="10">
        <f>IF(I$3=1,IF(I$4&lt;=3,Assumptions!$B$37,IF(I$4&lt;=6,Assumptions!$B$38,Assumptions!$B$39)),IF(I$3=2,Assumptions!$B$40,Assumptions!$B$41))</f>
        <v/>
      </c>
      <c r="J56" s="10">
        <f>IF(J$3=1,IF(J$4&lt;=3,Assumptions!$B$37,IF(J$4&lt;=6,Assumptions!$B$38,Assumptions!$B$39)),IF(J$3=2,Assumptions!$B$40,Assumptions!$B$41))</f>
        <v/>
      </c>
      <c r="K56" s="10">
        <f>IF(K$3=1,IF(K$4&lt;=3,Assumptions!$B$37,IF(K$4&lt;=6,Assumptions!$B$38,Assumptions!$B$39)),IF(K$3=2,Assumptions!$B$40,Assumptions!$B$41))</f>
        <v/>
      </c>
      <c r="L56" s="10">
        <f>IF(L$3=1,IF(L$4&lt;=3,Assumptions!$B$37,IF(L$4&lt;=6,Assumptions!$B$38,Assumptions!$B$39)),IF(L$3=2,Assumptions!$B$40,Assumptions!$B$41))</f>
        <v/>
      </c>
      <c r="M56" s="10">
        <f>IF(M$3=1,IF(M$4&lt;=3,Assumptions!$B$37,IF(M$4&lt;=6,Assumptions!$B$38,Assumptions!$B$39)),IF(M$3=2,Assumptions!$B$40,Assumptions!$B$41))</f>
        <v/>
      </c>
      <c r="N56" s="10">
        <f>IF(N$3=1,IF(N$4&lt;=3,Assumptions!$B$37,IF(N$4&lt;=6,Assumptions!$B$38,Assumptions!$B$39)),IF(N$3=2,Assumptions!$B$40,Assumptions!$B$41))</f>
        <v/>
      </c>
      <c r="O56" s="10">
        <f>IF(O$3=1,IF(O$4&lt;=3,Assumptions!$B$37,IF(O$4&lt;=6,Assumptions!$B$38,Assumptions!$B$39)),IF(O$3=2,Assumptions!$B$40,Assumptions!$B$41))</f>
        <v/>
      </c>
      <c r="P56" s="10">
        <f>IF(P$3=1,IF(P$4&lt;=3,Assumptions!$B$37,IF(P$4&lt;=6,Assumptions!$B$38,Assumptions!$B$39)),IF(P$3=2,Assumptions!$B$40,Assumptions!$B$41))</f>
        <v/>
      </c>
      <c r="Q56" s="10">
        <f>IF(Q$3=1,IF(Q$4&lt;=3,Assumptions!$B$37,IF(Q$4&lt;=6,Assumptions!$B$38,Assumptions!$B$39)),IF(Q$3=2,Assumptions!$B$40,Assumptions!$B$41))</f>
        <v/>
      </c>
      <c r="R56" s="10">
        <f>IF(R$3=1,IF(R$4&lt;=3,Assumptions!$B$37,IF(R$4&lt;=6,Assumptions!$B$38,Assumptions!$B$39)),IF(R$3=2,Assumptions!$B$40,Assumptions!$B$41))</f>
        <v/>
      </c>
      <c r="S56" s="10">
        <f>IF(S$3=1,IF(S$4&lt;=3,Assumptions!$B$37,IF(S$4&lt;=6,Assumptions!$B$38,Assumptions!$B$39)),IF(S$3=2,Assumptions!$B$40,Assumptions!$B$41))</f>
        <v/>
      </c>
      <c r="T56" s="10">
        <f>IF(T$3=1,IF(T$4&lt;=3,Assumptions!$B$37,IF(T$4&lt;=6,Assumptions!$B$38,Assumptions!$B$39)),IF(T$3=2,Assumptions!$B$40,Assumptions!$B$41))</f>
        <v/>
      </c>
      <c r="U56" s="10">
        <f>IF(U$3=1,IF(U$4&lt;=3,Assumptions!$B$37,IF(U$4&lt;=6,Assumptions!$B$38,Assumptions!$B$39)),IF(U$3=2,Assumptions!$B$40,Assumptions!$B$41))</f>
        <v/>
      </c>
      <c r="V56" s="10">
        <f>IF(V$3=1,IF(V$4&lt;=3,Assumptions!$B$37,IF(V$4&lt;=6,Assumptions!$B$38,Assumptions!$B$39)),IF(V$3=2,Assumptions!$B$40,Assumptions!$B$41))</f>
        <v/>
      </c>
      <c r="W56" s="10">
        <f>IF(W$3=1,IF(W$4&lt;=3,Assumptions!$B$37,IF(W$4&lt;=6,Assumptions!$B$38,Assumptions!$B$39)),IF(W$3=2,Assumptions!$B$40,Assumptions!$B$41))</f>
        <v/>
      </c>
      <c r="X56" s="10">
        <f>IF(X$3=1,IF(X$4&lt;=3,Assumptions!$B$37,IF(X$4&lt;=6,Assumptions!$B$38,Assumptions!$B$39)),IF(X$3=2,Assumptions!$B$40,Assumptions!$B$41))</f>
        <v/>
      </c>
      <c r="Y56" s="10">
        <f>IF(Y$3=1,IF(Y$4&lt;=3,Assumptions!$B$37,IF(Y$4&lt;=6,Assumptions!$B$38,Assumptions!$B$39)),IF(Y$3=2,Assumptions!$B$40,Assumptions!$B$41))</f>
        <v/>
      </c>
      <c r="Z56" s="10">
        <f>IF(Z$3=1,IF(Z$4&lt;=3,Assumptions!$B$37,IF(Z$4&lt;=6,Assumptions!$B$38,Assumptions!$B$39)),IF(Z$3=2,Assumptions!$B$40,Assumptions!$B$41))</f>
        <v/>
      </c>
      <c r="AA56" s="10">
        <f>IF(AA$3=1,IF(AA$4&lt;=3,Assumptions!$B$37,IF(AA$4&lt;=6,Assumptions!$B$38,Assumptions!$B$39)),IF(AA$3=2,Assumptions!$B$40,Assumptions!$B$41))</f>
        <v/>
      </c>
      <c r="AB56" s="10">
        <f>IF(AB$3=1,IF(AB$4&lt;=3,Assumptions!$B$37,IF(AB$4&lt;=6,Assumptions!$B$38,Assumptions!$B$39)),IF(AB$3=2,Assumptions!$B$40,Assumptions!$B$41))</f>
        <v/>
      </c>
      <c r="AC56" s="10">
        <f>IF(AC$3=1,IF(AC$4&lt;=3,Assumptions!$B$37,IF(AC$4&lt;=6,Assumptions!$B$38,Assumptions!$B$39)),IF(AC$3=2,Assumptions!$B$40,Assumptions!$B$41))</f>
        <v/>
      </c>
      <c r="AD56" s="10">
        <f>IF(AD$3=1,IF(AD$4&lt;=3,Assumptions!$B$37,IF(AD$4&lt;=6,Assumptions!$B$38,Assumptions!$B$39)),IF(AD$3=2,Assumptions!$B$40,Assumptions!$B$41))</f>
        <v/>
      </c>
      <c r="AE56" s="10">
        <f>IF(AE$3=1,IF(AE$4&lt;=3,Assumptions!$B$37,IF(AE$4&lt;=6,Assumptions!$B$38,Assumptions!$B$39)),IF(AE$3=2,Assumptions!$B$40,Assumptions!$B$41))</f>
        <v/>
      </c>
      <c r="AF56" s="10">
        <f>IF(AF$3=1,IF(AF$4&lt;=3,Assumptions!$B$37,IF(AF$4&lt;=6,Assumptions!$B$38,Assumptions!$B$39)),IF(AF$3=2,Assumptions!$B$40,Assumptions!$B$41))</f>
        <v/>
      </c>
      <c r="AG56" s="10">
        <f>IF(AG$3=1,IF(AG$4&lt;=3,Assumptions!$B$37,IF(AG$4&lt;=6,Assumptions!$B$38,Assumptions!$B$39)),IF(AG$3=2,Assumptions!$B$40,Assumptions!$B$41))</f>
        <v/>
      </c>
      <c r="AH56" s="10">
        <f>IF(AH$3=1,IF(AH$4&lt;=3,Assumptions!$B$37,IF(AH$4&lt;=6,Assumptions!$B$38,Assumptions!$B$39)),IF(AH$3=2,Assumptions!$B$40,Assumptions!$B$41))</f>
        <v/>
      </c>
      <c r="AI56" s="10">
        <f>IF(AI$3=1,IF(AI$4&lt;=3,Assumptions!$B$37,IF(AI$4&lt;=6,Assumptions!$B$38,Assumptions!$B$39)),IF(AI$3=2,Assumptions!$B$40,Assumptions!$B$41))</f>
        <v/>
      </c>
      <c r="AJ56" s="10">
        <f>IF(AJ$3=1,IF(AJ$4&lt;=3,Assumptions!$B$37,IF(AJ$4&lt;=6,Assumptions!$B$38,Assumptions!$B$39)),IF(AJ$3=2,Assumptions!$B$40,Assumptions!$B$41))</f>
        <v/>
      </c>
      <c r="AK56" s="10">
        <f>IF(AK$3=1,IF(AK$4&lt;=3,Assumptions!$B$37,IF(AK$4&lt;=6,Assumptions!$B$38,Assumptions!$B$39)),IF(AK$3=2,Assumptions!$B$40,Assumptions!$B$41))</f>
        <v/>
      </c>
      <c r="AL56" s="10">
        <f>IF(AL$3=1,IF(AL$4&lt;=3,Assumptions!$B$37,IF(AL$4&lt;=6,Assumptions!$B$38,Assumptions!$B$39)),IF(AL$3=2,Assumptions!$B$40,Assumptions!$B$41))</f>
        <v/>
      </c>
    </row>
    <row r="57">
      <c r="A57" s="12" t="inlineStr">
        <is>
          <t>Net profit before tax</t>
        </is>
      </c>
      <c r="B57" s="11" t="inlineStr">
        <is>
          <t>$</t>
        </is>
      </c>
      <c r="C57" s="27">
        <f>C55-C56</f>
        <v/>
      </c>
      <c r="D57" s="27">
        <f>D55-D56</f>
        <v/>
      </c>
      <c r="E57" s="27">
        <f>E55-E56</f>
        <v/>
      </c>
      <c r="F57" s="27">
        <f>F55-F56</f>
        <v/>
      </c>
      <c r="G57" s="27">
        <f>G55-G56</f>
        <v/>
      </c>
      <c r="H57" s="27">
        <f>H55-H56</f>
        <v/>
      </c>
      <c r="I57" s="27">
        <f>I55-I56</f>
        <v/>
      </c>
      <c r="J57" s="27">
        <f>J55-J56</f>
        <v/>
      </c>
      <c r="K57" s="27">
        <f>K55-K56</f>
        <v/>
      </c>
      <c r="L57" s="27">
        <f>L55-L56</f>
        <v/>
      </c>
      <c r="M57" s="27">
        <f>M55-M56</f>
        <v/>
      </c>
      <c r="N57" s="27">
        <f>N55-N56</f>
        <v/>
      </c>
      <c r="O57" s="27">
        <f>O55-O56</f>
        <v/>
      </c>
      <c r="P57" s="27">
        <f>P55-P56</f>
        <v/>
      </c>
      <c r="Q57" s="27">
        <f>Q55-Q56</f>
        <v/>
      </c>
      <c r="R57" s="27">
        <f>R55-R56</f>
        <v/>
      </c>
      <c r="S57" s="27">
        <f>S55-S56</f>
        <v/>
      </c>
      <c r="T57" s="27">
        <f>T55-T56</f>
        <v/>
      </c>
      <c r="U57" s="27">
        <f>U55-U56</f>
        <v/>
      </c>
      <c r="V57" s="27">
        <f>V55-V56</f>
        <v/>
      </c>
      <c r="W57" s="27">
        <f>W55-W56</f>
        <v/>
      </c>
      <c r="X57" s="27">
        <f>X55-X56</f>
        <v/>
      </c>
      <c r="Y57" s="27">
        <f>Y55-Y56</f>
        <v/>
      </c>
      <c r="Z57" s="27">
        <f>Z55-Z56</f>
        <v/>
      </c>
      <c r="AA57" s="27">
        <f>AA55-AA56</f>
        <v/>
      </c>
      <c r="AB57" s="27">
        <f>AB55-AB56</f>
        <v/>
      </c>
      <c r="AC57" s="27">
        <f>AC55-AC56</f>
        <v/>
      </c>
      <c r="AD57" s="27">
        <f>AD55-AD56</f>
        <v/>
      </c>
      <c r="AE57" s="27">
        <f>AE55-AE56</f>
        <v/>
      </c>
      <c r="AF57" s="27">
        <f>AF55-AF56</f>
        <v/>
      </c>
      <c r="AG57" s="27">
        <f>AG55-AG56</f>
        <v/>
      </c>
      <c r="AH57" s="27">
        <f>AH55-AH56</f>
        <v/>
      </c>
      <c r="AI57" s="27">
        <f>AI55-AI56</f>
        <v/>
      </c>
      <c r="AJ57" s="27">
        <f>AJ55-AJ56</f>
        <v/>
      </c>
      <c r="AK57" s="27">
        <f>AK55-AK56</f>
        <v/>
      </c>
      <c r="AL57" s="27">
        <f>AL55-AL56</f>
        <v/>
      </c>
    </row>
    <row r="58">
      <c r="A58" s="6" t="inlineStr">
        <is>
          <t>Net margin</t>
        </is>
      </c>
      <c r="B58" s="11" t="inlineStr">
        <is>
          <t>%</t>
        </is>
      </c>
      <c r="C58" s="14">
        <f>IF(C20=0,0,C57/C20)</f>
        <v/>
      </c>
      <c r="D58" s="14">
        <f>IF(D20=0,0,D57/D20)</f>
        <v/>
      </c>
      <c r="E58" s="14">
        <f>IF(E20=0,0,E57/E20)</f>
        <v/>
      </c>
      <c r="F58" s="14">
        <f>IF(F20=0,0,F57/F20)</f>
        <v/>
      </c>
      <c r="G58" s="14">
        <f>IF(G20=0,0,G57/G20)</f>
        <v/>
      </c>
      <c r="H58" s="14">
        <f>IF(H20=0,0,H57/H20)</f>
        <v/>
      </c>
      <c r="I58" s="14">
        <f>IF(I20=0,0,I57/I20)</f>
        <v/>
      </c>
      <c r="J58" s="14">
        <f>IF(J20=0,0,J57/J20)</f>
        <v/>
      </c>
      <c r="K58" s="14">
        <f>IF(K20=0,0,K57/K20)</f>
        <v/>
      </c>
      <c r="L58" s="14">
        <f>IF(L20=0,0,L57/L20)</f>
        <v/>
      </c>
      <c r="M58" s="14">
        <f>IF(M20=0,0,M57/M20)</f>
        <v/>
      </c>
      <c r="N58" s="14">
        <f>IF(N20=0,0,N57/N20)</f>
        <v/>
      </c>
      <c r="O58" s="14">
        <f>IF(O20=0,0,O57/O20)</f>
        <v/>
      </c>
      <c r="P58" s="14">
        <f>IF(P20=0,0,P57/P20)</f>
        <v/>
      </c>
      <c r="Q58" s="14">
        <f>IF(Q20=0,0,Q57/Q20)</f>
        <v/>
      </c>
      <c r="R58" s="14">
        <f>IF(R20=0,0,R57/R20)</f>
        <v/>
      </c>
      <c r="S58" s="14">
        <f>IF(S20=0,0,S57/S20)</f>
        <v/>
      </c>
      <c r="T58" s="14">
        <f>IF(T20=0,0,T57/T20)</f>
        <v/>
      </c>
      <c r="U58" s="14">
        <f>IF(U20=0,0,U57/U20)</f>
        <v/>
      </c>
      <c r="V58" s="14">
        <f>IF(V20=0,0,V57/V20)</f>
        <v/>
      </c>
      <c r="W58" s="14">
        <f>IF(W20=0,0,W57/W20)</f>
        <v/>
      </c>
      <c r="X58" s="14">
        <f>IF(X20=0,0,X57/X20)</f>
        <v/>
      </c>
      <c r="Y58" s="14">
        <f>IF(Y20=0,0,Y57/Y20)</f>
        <v/>
      </c>
      <c r="Z58" s="14">
        <f>IF(Z20=0,0,Z57/Z20)</f>
        <v/>
      </c>
      <c r="AA58" s="14">
        <f>IF(AA20=0,0,AA57/AA20)</f>
        <v/>
      </c>
      <c r="AB58" s="14">
        <f>IF(AB20=0,0,AB57/AB20)</f>
        <v/>
      </c>
      <c r="AC58" s="14">
        <f>IF(AC20=0,0,AC57/AC20)</f>
        <v/>
      </c>
      <c r="AD58" s="14">
        <f>IF(AD20=0,0,AD57/AD20)</f>
        <v/>
      </c>
      <c r="AE58" s="14">
        <f>IF(AE20=0,0,AE57/AE20)</f>
        <v/>
      </c>
      <c r="AF58" s="14">
        <f>IF(AF20=0,0,AF57/AF20)</f>
        <v/>
      </c>
      <c r="AG58" s="14">
        <f>IF(AG20=0,0,AG57/AG20)</f>
        <v/>
      </c>
      <c r="AH58" s="14">
        <f>IF(AH20=0,0,AH57/AH20)</f>
        <v/>
      </c>
      <c r="AI58" s="14">
        <f>IF(AI20=0,0,AI57/AI20)</f>
        <v/>
      </c>
      <c r="AJ58" s="14">
        <f>IF(AJ20=0,0,AJ57/AJ20)</f>
        <v/>
      </c>
      <c r="AK58" s="14">
        <f>IF(AK20=0,0,AK57/AK20)</f>
        <v/>
      </c>
      <c r="AL58" s="14">
        <f>IF(AL20=0,0,AL57/AL20)</f>
        <v/>
      </c>
    </row>
    <row r="60">
      <c r="A60" s="12" t="inlineStr">
        <is>
          <t>Cash flow</t>
        </is>
      </c>
    </row>
    <row r="61">
      <c r="A61" s="6" t="inlineStr">
        <is>
          <t>Collections from customers</t>
        </is>
      </c>
      <c r="B61" s="11" t="inlineStr">
        <is>
          <t>$</t>
        </is>
      </c>
      <c r="C61" s="10">
        <f>C20*Assumptions!$B$88</f>
        <v/>
      </c>
      <c r="D61" s="10">
        <f>D20*Assumptions!$B$88+C20*Assumptions!$B$89</f>
        <v/>
      </c>
      <c r="E61" s="10">
        <f>E20*Assumptions!$B$88+D20*Assumptions!$B$89</f>
        <v/>
      </c>
      <c r="F61" s="10">
        <f>F20*Assumptions!$B$88+E20*Assumptions!$B$89</f>
        <v/>
      </c>
      <c r="G61" s="10">
        <f>G20*Assumptions!$B$88+F20*Assumptions!$B$89</f>
        <v/>
      </c>
      <c r="H61" s="10">
        <f>H20*Assumptions!$B$88+G20*Assumptions!$B$89</f>
        <v/>
      </c>
      <c r="I61" s="10">
        <f>I20*Assumptions!$B$88+H20*Assumptions!$B$89</f>
        <v/>
      </c>
      <c r="J61" s="10">
        <f>J20*Assumptions!$B$88+I20*Assumptions!$B$89</f>
        <v/>
      </c>
      <c r="K61" s="10">
        <f>K20*Assumptions!$B$88+J20*Assumptions!$B$89</f>
        <v/>
      </c>
      <c r="L61" s="10">
        <f>L20*Assumptions!$B$88+K20*Assumptions!$B$89</f>
        <v/>
      </c>
      <c r="M61" s="10">
        <f>M20*Assumptions!$B$88+L20*Assumptions!$B$89</f>
        <v/>
      </c>
      <c r="N61" s="10">
        <f>N20*Assumptions!$B$88+M20*Assumptions!$B$89</f>
        <v/>
      </c>
      <c r="O61" s="10">
        <f>O20*Assumptions!$B$88+N20*Assumptions!$B$89</f>
        <v/>
      </c>
      <c r="P61" s="10">
        <f>P20*Assumptions!$B$88+O20*Assumptions!$B$89</f>
        <v/>
      </c>
      <c r="Q61" s="10">
        <f>Q20*Assumptions!$B$88+P20*Assumptions!$B$89</f>
        <v/>
      </c>
      <c r="R61" s="10">
        <f>R20*Assumptions!$B$88+Q20*Assumptions!$B$89</f>
        <v/>
      </c>
      <c r="S61" s="10">
        <f>S20*Assumptions!$B$88+R20*Assumptions!$B$89</f>
        <v/>
      </c>
      <c r="T61" s="10">
        <f>T20*Assumptions!$B$88+S20*Assumptions!$B$89</f>
        <v/>
      </c>
      <c r="U61" s="10">
        <f>U20*Assumptions!$B$88+T20*Assumptions!$B$89</f>
        <v/>
      </c>
      <c r="V61" s="10">
        <f>V20*Assumptions!$B$88+U20*Assumptions!$B$89</f>
        <v/>
      </c>
      <c r="W61" s="10">
        <f>W20*Assumptions!$B$88+V20*Assumptions!$B$89</f>
        <v/>
      </c>
      <c r="X61" s="10">
        <f>X20*Assumptions!$B$88+W20*Assumptions!$B$89</f>
        <v/>
      </c>
      <c r="Y61" s="10">
        <f>Y20*Assumptions!$B$88+X20*Assumptions!$B$89</f>
        <v/>
      </c>
      <c r="Z61" s="10">
        <f>Z20*Assumptions!$B$88+Y20*Assumptions!$B$89</f>
        <v/>
      </c>
      <c r="AA61" s="10">
        <f>AA20*Assumptions!$B$88+Z20*Assumptions!$B$89</f>
        <v/>
      </c>
      <c r="AB61" s="10">
        <f>AB20*Assumptions!$B$88+AA20*Assumptions!$B$89</f>
        <v/>
      </c>
      <c r="AC61" s="10">
        <f>AC20*Assumptions!$B$88+AB20*Assumptions!$B$89</f>
        <v/>
      </c>
      <c r="AD61" s="10">
        <f>AD20*Assumptions!$B$88+AC20*Assumptions!$B$89</f>
        <v/>
      </c>
      <c r="AE61" s="10">
        <f>AE20*Assumptions!$B$88+AD20*Assumptions!$B$89</f>
        <v/>
      </c>
      <c r="AF61" s="10">
        <f>AF20*Assumptions!$B$88+AE20*Assumptions!$B$89</f>
        <v/>
      </c>
      <c r="AG61" s="10">
        <f>AG20*Assumptions!$B$88+AF20*Assumptions!$B$89</f>
        <v/>
      </c>
      <c r="AH61" s="10">
        <f>AH20*Assumptions!$B$88+AG20*Assumptions!$B$89</f>
        <v/>
      </c>
      <c r="AI61" s="10">
        <f>AI20*Assumptions!$B$88+AH20*Assumptions!$B$89</f>
        <v/>
      </c>
      <c r="AJ61" s="10">
        <f>AJ20*Assumptions!$B$88+AI20*Assumptions!$B$89</f>
        <v/>
      </c>
      <c r="AK61" s="10">
        <f>AK20*Assumptions!$B$88+AJ20*Assumptions!$B$89</f>
        <v/>
      </c>
      <c r="AL61" s="10">
        <f>AL20*Assumptions!$B$88+AK20*Assumptions!$B$89</f>
        <v/>
      </c>
    </row>
    <row r="62">
      <c r="A62" s="6" t="inlineStr">
        <is>
          <t>Materials, equipment and subs paid</t>
        </is>
      </c>
      <c r="B62" s="11" t="inlineStr">
        <is>
          <t>$</t>
        </is>
      </c>
      <c r="C62" s="10">
        <f>C32</f>
        <v/>
      </c>
      <c r="D62" s="10">
        <f>D32</f>
        <v/>
      </c>
      <c r="E62" s="10">
        <f>E32</f>
        <v/>
      </c>
      <c r="F62" s="10">
        <f>F32</f>
        <v/>
      </c>
      <c r="G62" s="10">
        <f>G32</f>
        <v/>
      </c>
      <c r="H62" s="10">
        <f>H32</f>
        <v/>
      </c>
      <c r="I62" s="10">
        <f>I32</f>
        <v/>
      </c>
      <c r="J62" s="10">
        <f>J32</f>
        <v/>
      </c>
      <c r="K62" s="10">
        <f>K32</f>
        <v/>
      </c>
      <c r="L62" s="10">
        <f>L32</f>
        <v/>
      </c>
      <c r="M62" s="10">
        <f>M32</f>
        <v/>
      </c>
      <c r="N62" s="10">
        <f>N32</f>
        <v/>
      </c>
      <c r="O62" s="10">
        <f>O32</f>
        <v/>
      </c>
      <c r="P62" s="10">
        <f>P32</f>
        <v/>
      </c>
      <c r="Q62" s="10">
        <f>Q32</f>
        <v/>
      </c>
      <c r="R62" s="10">
        <f>R32</f>
        <v/>
      </c>
      <c r="S62" s="10">
        <f>S32</f>
        <v/>
      </c>
      <c r="T62" s="10">
        <f>T32</f>
        <v/>
      </c>
      <c r="U62" s="10">
        <f>U32</f>
        <v/>
      </c>
      <c r="V62" s="10">
        <f>V32</f>
        <v/>
      </c>
      <c r="W62" s="10">
        <f>W32</f>
        <v/>
      </c>
      <c r="X62" s="10">
        <f>X32</f>
        <v/>
      </c>
      <c r="Y62" s="10">
        <f>Y32</f>
        <v/>
      </c>
      <c r="Z62" s="10">
        <f>Z32</f>
        <v/>
      </c>
      <c r="AA62" s="10">
        <f>AA32</f>
        <v/>
      </c>
      <c r="AB62" s="10">
        <f>AB32</f>
        <v/>
      </c>
      <c r="AC62" s="10">
        <f>AC32</f>
        <v/>
      </c>
      <c r="AD62" s="10">
        <f>AD32</f>
        <v/>
      </c>
      <c r="AE62" s="10">
        <f>AE32</f>
        <v/>
      </c>
      <c r="AF62" s="10">
        <f>AF32</f>
        <v/>
      </c>
      <c r="AG62" s="10">
        <f>AG32</f>
        <v/>
      </c>
      <c r="AH62" s="10">
        <f>AH32</f>
        <v/>
      </c>
      <c r="AI62" s="10">
        <f>AI32</f>
        <v/>
      </c>
      <c r="AJ62" s="10">
        <f>AJ32</f>
        <v/>
      </c>
      <c r="AK62" s="10">
        <f>AK32</f>
        <v/>
      </c>
      <c r="AL62" s="10">
        <f>AL32</f>
        <v/>
      </c>
    </row>
    <row r="63">
      <c r="A63" s="6" t="inlineStr">
        <is>
          <t>Field labor paid</t>
        </is>
      </c>
      <c r="B63" s="11" t="inlineStr">
        <is>
          <t>$</t>
        </is>
      </c>
      <c r="C63" s="10">
        <f>C40</f>
        <v/>
      </c>
      <c r="D63" s="10">
        <f>D40</f>
        <v/>
      </c>
      <c r="E63" s="10">
        <f>E40</f>
        <v/>
      </c>
      <c r="F63" s="10">
        <f>F40</f>
        <v/>
      </c>
      <c r="G63" s="10">
        <f>G40</f>
        <v/>
      </c>
      <c r="H63" s="10">
        <f>H40</f>
        <v/>
      </c>
      <c r="I63" s="10">
        <f>I40</f>
        <v/>
      </c>
      <c r="J63" s="10">
        <f>J40</f>
        <v/>
      </c>
      <c r="K63" s="10">
        <f>K40</f>
        <v/>
      </c>
      <c r="L63" s="10">
        <f>L40</f>
        <v/>
      </c>
      <c r="M63" s="10">
        <f>M40</f>
        <v/>
      </c>
      <c r="N63" s="10">
        <f>N40</f>
        <v/>
      </c>
      <c r="O63" s="10">
        <f>O40</f>
        <v/>
      </c>
      <c r="P63" s="10">
        <f>P40</f>
        <v/>
      </c>
      <c r="Q63" s="10">
        <f>Q40</f>
        <v/>
      </c>
      <c r="R63" s="10">
        <f>R40</f>
        <v/>
      </c>
      <c r="S63" s="10">
        <f>S40</f>
        <v/>
      </c>
      <c r="T63" s="10">
        <f>T40</f>
        <v/>
      </c>
      <c r="U63" s="10">
        <f>U40</f>
        <v/>
      </c>
      <c r="V63" s="10">
        <f>V40</f>
        <v/>
      </c>
      <c r="W63" s="10">
        <f>W40</f>
        <v/>
      </c>
      <c r="X63" s="10">
        <f>X40</f>
        <v/>
      </c>
      <c r="Y63" s="10">
        <f>Y40</f>
        <v/>
      </c>
      <c r="Z63" s="10">
        <f>Z40</f>
        <v/>
      </c>
      <c r="AA63" s="10">
        <f>AA40</f>
        <v/>
      </c>
      <c r="AB63" s="10">
        <f>AB40</f>
        <v/>
      </c>
      <c r="AC63" s="10">
        <f>AC40</f>
        <v/>
      </c>
      <c r="AD63" s="10">
        <f>AD40</f>
        <v/>
      </c>
      <c r="AE63" s="10">
        <f>AE40</f>
        <v/>
      </c>
      <c r="AF63" s="10">
        <f>AF40</f>
        <v/>
      </c>
      <c r="AG63" s="10">
        <f>AG40</f>
        <v/>
      </c>
      <c r="AH63" s="10">
        <f>AH40</f>
        <v/>
      </c>
      <c r="AI63" s="10">
        <f>AI40</f>
        <v/>
      </c>
      <c r="AJ63" s="10">
        <f>AJ40</f>
        <v/>
      </c>
      <c r="AK63" s="10">
        <f>AK40</f>
        <v/>
      </c>
      <c r="AL63" s="10">
        <f>AL40</f>
        <v/>
      </c>
    </row>
    <row r="64">
      <c r="A64" s="6" t="inlineStr">
        <is>
          <t>Operating expenses paid (excluding depreciation and interest)</t>
        </is>
      </c>
      <c r="B64" s="11" t="inlineStr">
        <is>
          <t>$</t>
        </is>
      </c>
      <c r="C64" s="10">
        <f>C54-C52-C53</f>
        <v/>
      </c>
      <c r="D64" s="10">
        <f>D54-D52-D53</f>
        <v/>
      </c>
      <c r="E64" s="10">
        <f>E54-E52-E53</f>
        <v/>
      </c>
      <c r="F64" s="10">
        <f>F54-F52-F53</f>
        <v/>
      </c>
      <c r="G64" s="10">
        <f>G54-G52-G53</f>
        <v/>
      </c>
      <c r="H64" s="10">
        <f>H54-H52-H53</f>
        <v/>
      </c>
      <c r="I64" s="10">
        <f>I54-I52-I53</f>
        <v/>
      </c>
      <c r="J64" s="10">
        <f>J54-J52-J53</f>
        <v/>
      </c>
      <c r="K64" s="10">
        <f>K54-K52-K53</f>
        <v/>
      </c>
      <c r="L64" s="10">
        <f>L54-L52-L53</f>
        <v/>
      </c>
      <c r="M64" s="10">
        <f>M54-M52-M53</f>
        <v/>
      </c>
      <c r="N64" s="10">
        <f>N54-N52-N53</f>
        <v/>
      </c>
      <c r="O64" s="10">
        <f>O54-O52-O53</f>
        <v/>
      </c>
      <c r="P64" s="10">
        <f>P54-P52-P53</f>
        <v/>
      </c>
      <c r="Q64" s="10">
        <f>Q54-Q52-Q53</f>
        <v/>
      </c>
      <c r="R64" s="10">
        <f>R54-R52-R53</f>
        <v/>
      </c>
      <c r="S64" s="10">
        <f>S54-S52-S53</f>
        <v/>
      </c>
      <c r="T64" s="10">
        <f>T54-T52-T53</f>
        <v/>
      </c>
      <c r="U64" s="10">
        <f>U54-U52-U53</f>
        <v/>
      </c>
      <c r="V64" s="10">
        <f>V54-V52-V53</f>
        <v/>
      </c>
      <c r="W64" s="10">
        <f>W54-W52-W53</f>
        <v/>
      </c>
      <c r="X64" s="10">
        <f>X54-X52-X53</f>
        <v/>
      </c>
      <c r="Y64" s="10">
        <f>Y54-Y52-Y53</f>
        <v/>
      </c>
      <c r="Z64" s="10">
        <f>Z54-Z52-Z53</f>
        <v/>
      </c>
      <c r="AA64" s="10">
        <f>AA54-AA52-AA53</f>
        <v/>
      </c>
      <c r="AB64" s="10">
        <f>AB54-AB52-AB53</f>
        <v/>
      </c>
      <c r="AC64" s="10">
        <f>AC54-AC52-AC53</f>
        <v/>
      </c>
      <c r="AD64" s="10">
        <f>AD54-AD52-AD53</f>
        <v/>
      </c>
      <c r="AE64" s="10">
        <f>AE54-AE52-AE53</f>
        <v/>
      </c>
      <c r="AF64" s="10">
        <f>AF54-AF52-AF53</f>
        <v/>
      </c>
      <c r="AG64" s="10">
        <f>AG54-AG52-AG53</f>
        <v/>
      </c>
      <c r="AH64" s="10">
        <f>AH54-AH52-AH53</f>
        <v/>
      </c>
      <c r="AI64" s="10">
        <f>AI54-AI52-AI53</f>
        <v/>
      </c>
      <c r="AJ64" s="10">
        <f>AJ54-AJ52-AJ53</f>
        <v/>
      </c>
      <c r="AK64" s="10">
        <f>AK54-AK52-AK53</f>
        <v/>
      </c>
      <c r="AL64" s="10">
        <f>AL54-AL52-AL53</f>
        <v/>
      </c>
    </row>
    <row r="65">
      <c r="A65" s="6" t="inlineStr">
        <is>
          <t>Van loan payments (principal and interest)</t>
        </is>
      </c>
      <c r="B65" s="11" t="inlineStr">
        <is>
          <t>$</t>
        </is>
      </c>
      <c r="C65" s="10">
        <f>Assumptions!$B$64*IF(C$4&lt;=Assumptions!$B$63,1,0)+IF(C$4&gt;=Assumptions!$B$68,Assumptions!$B$64,0)</f>
        <v/>
      </c>
      <c r="D65" s="10">
        <f>Assumptions!$B$64*IF(D$4&lt;=Assumptions!$B$63,1,0)+IF(D$4&gt;=Assumptions!$B$68,Assumptions!$B$64,0)</f>
        <v/>
      </c>
      <c r="E65" s="10">
        <f>Assumptions!$B$64*IF(E$4&lt;=Assumptions!$B$63,1,0)+IF(E$4&gt;=Assumptions!$B$68,Assumptions!$B$64,0)</f>
        <v/>
      </c>
      <c r="F65" s="10">
        <f>Assumptions!$B$64*IF(F$4&lt;=Assumptions!$B$63,1,0)+IF(F$4&gt;=Assumptions!$B$68,Assumptions!$B$64,0)</f>
        <v/>
      </c>
      <c r="G65" s="10">
        <f>Assumptions!$B$64*IF(G$4&lt;=Assumptions!$B$63,1,0)+IF(G$4&gt;=Assumptions!$B$68,Assumptions!$B$64,0)</f>
        <v/>
      </c>
      <c r="H65" s="10">
        <f>Assumptions!$B$64*IF(H$4&lt;=Assumptions!$B$63,1,0)+IF(H$4&gt;=Assumptions!$B$68,Assumptions!$B$64,0)</f>
        <v/>
      </c>
      <c r="I65" s="10">
        <f>Assumptions!$B$64*IF(I$4&lt;=Assumptions!$B$63,1,0)+IF(I$4&gt;=Assumptions!$B$68,Assumptions!$B$64,0)</f>
        <v/>
      </c>
      <c r="J65" s="10">
        <f>Assumptions!$B$64*IF(J$4&lt;=Assumptions!$B$63,1,0)+IF(J$4&gt;=Assumptions!$B$68,Assumptions!$B$64,0)</f>
        <v/>
      </c>
      <c r="K65" s="10">
        <f>Assumptions!$B$64*IF(K$4&lt;=Assumptions!$B$63,1,0)+IF(K$4&gt;=Assumptions!$B$68,Assumptions!$B$64,0)</f>
        <v/>
      </c>
      <c r="L65" s="10">
        <f>Assumptions!$B$64*IF(L$4&lt;=Assumptions!$B$63,1,0)+IF(L$4&gt;=Assumptions!$B$68,Assumptions!$B$64,0)</f>
        <v/>
      </c>
      <c r="M65" s="10">
        <f>Assumptions!$B$64*IF(M$4&lt;=Assumptions!$B$63,1,0)+IF(M$4&gt;=Assumptions!$B$68,Assumptions!$B$64,0)</f>
        <v/>
      </c>
      <c r="N65" s="10">
        <f>Assumptions!$B$64*IF(N$4&lt;=Assumptions!$B$63,1,0)+IF(N$4&gt;=Assumptions!$B$68,Assumptions!$B$64,0)</f>
        <v/>
      </c>
      <c r="O65" s="10">
        <f>Assumptions!$B$64*IF(O$4&lt;=Assumptions!$B$63,1,0)+IF(O$4&gt;=Assumptions!$B$68,Assumptions!$B$64,0)</f>
        <v/>
      </c>
      <c r="P65" s="10">
        <f>Assumptions!$B$64*IF(P$4&lt;=Assumptions!$B$63,1,0)+IF(P$4&gt;=Assumptions!$B$68,Assumptions!$B$64,0)</f>
        <v/>
      </c>
      <c r="Q65" s="10">
        <f>Assumptions!$B$64*IF(Q$4&lt;=Assumptions!$B$63,1,0)+IF(Q$4&gt;=Assumptions!$B$68,Assumptions!$B$64,0)</f>
        <v/>
      </c>
      <c r="R65" s="10">
        <f>Assumptions!$B$64*IF(R$4&lt;=Assumptions!$B$63,1,0)+IF(R$4&gt;=Assumptions!$B$68,Assumptions!$B$64,0)</f>
        <v/>
      </c>
      <c r="S65" s="10">
        <f>Assumptions!$B$64*IF(S$4&lt;=Assumptions!$B$63,1,0)+IF(S$4&gt;=Assumptions!$B$68,Assumptions!$B$64,0)</f>
        <v/>
      </c>
      <c r="T65" s="10">
        <f>Assumptions!$B$64*IF(T$4&lt;=Assumptions!$B$63,1,0)+IF(T$4&gt;=Assumptions!$B$68,Assumptions!$B$64,0)</f>
        <v/>
      </c>
      <c r="U65" s="10">
        <f>Assumptions!$B$64*IF(U$4&lt;=Assumptions!$B$63,1,0)+IF(U$4&gt;=Assumptions!$B$68,Assumptions!$B$64,0)</f>
        <v/>
      </c>
      <c r="V65" s="10">
        <f>Assumptions!$B$64*IF(V$4&lt;=Assumptions!$B$63,1,0)+IF(V$4&gt;=Assumptions!$B$68,Assumptions!$B$64,0)</f>
        <v/>
      </c>
      <c r="W65" s="10">
        <f>Assumptions!$B$64*IF(W$4&lt;=Assumptions!$B$63,1,0)+IF(W$4&gt;=Assumptions!$B$68,Assumptions!$B$64,0)</f>
        <v/>
      </c>
      <c r="X65" s="10">
        <f>Assumptions!$B$64*IF(X$4&lt;=Assumptions!$B$63,1,0)+IF(X$4&gt;=Assumptions!$B$68,Assumptions!$B$64,0)</f>
        <v/>
      </c>
      <c r="Y65" s="10">
        <f>Assumptions!$B$64*IF(Y$4&lt;=Assumptions!$B$63,1,0)+IF(Y$4&gt;=Assumptions!$B$68,Assumptions!$B$64,0)</f>
        <v/>
      </c>
      <c r="Z65" s="10">
        <f>Assumptions!$B$64*IF(Z$4&lt;=Assumptions!$B$63,1,0)+IF(Z$4&gt;=Assumptions!$B$68,Assumptions!$B$64,0)</f>
        <v/>
      </c>
      <c r="AA65" s="10">
        <f>Assumptions!$B$64*IF(AA$4&lt;=Assumptions!$B$63,1,0)+IF(AA$4&gt;=Assumptions!$B$68,Assumptions!$B$64,0)</f>
        <v/>
      </c>
      <c r="AB65" s="10">
        <f>Assumptions!$B$64*IF(AB$4&lt;=Assumptions!$B$63,1,0)+IF(AB$4&gt;=Assumptions!$B$68,Assumptions!$B$64,0)</f>
        <v/>
      </c>
      <c r="AC65" s="10">
        <f>Assumptions!$B$64*IF(AC$4&lt;=Assumptions!$B$63,1,0)+IF(AC$4&gt;=Assumptions!$B$68,Assumptions!$B$64,0)</f>
        <v/>
      </c>
      <c r="AD65" s="10">
        <f>Assumptions!$B$64*IF(AD$4&lt;=Assumptions!$B$63,1,0)+IF(AD$4&gt;=Assumptions!$B$68,Assumptions!$B$64,0)</f>
        <v/>
      </c>
      <c r="AE65" s="10">
        <f>Assumptions!$B$64*IF(AE$4&lt;=Assumptions!$B$63,1,0)+IF(AE$4&gt;=Assumptions!$B$68,Assumptions!$B$64,0)</f>
        <v/>
      </c>
      <c r="AF65" s="10">
        <f>Assumptions!$B$64*IF(AF$4&lt;=Assumptions!$B$63,1,0)+IF(AF$4&gt;=Assumptions!$B$68,Assumptions!$B$64,0)</f>
        <v/>
      </c>
      <c r="AG65" s="10">
        <f>Assumptions!$B$64*IF(AG$4&lt;=Assumptions!$B$63,1,0)+IF(AG$4&gt;=Assumptions!$B$68,Assumptions!$B$64,0)</f>
        <v/>
      </c>
      <c r="AH65" s="10">
        <f>Assumptions!$B$64*IF(AH$4&lt;=Assumptions!$B$63,1,0)+IF(AH$4&gt;=Assumptions!$B$68,Assumptions!$B$64,0)</f>
        <v/>
      </c>
      <c r="AI65" s="10">
        <f>Assumptions!$B$64*IF(AI$4&lt;=Assumptions!$B$63,1,0)+IF(AI$4&gt;=Assumptions!$B$68,Assumptions!$B$64,0)</f>
        <v/>
      </c>
      <c r="AJ65" s="10">
        <f>Assumptions!$B$64*IF(AJ$4&lt;=Assumptions!$B$63,1,0)+IF(AJ$4&gt;=Assumptions!$B$68,Assumptions!$B$64,0)</f>
        <v/>
      </c>
      <c r="AK65" s="10">
        <f>Assumptions!$B$64*IF(AK$4&lt;=Assumptions!$B$63,1,0)+IF(AK$4&gt;=Assumptions!$B$68,Assumptions!$B$64,0)</f>
        <v/>
      </c>
      <c r="AL65" s="10">
        <f>Assumptions!$B$64*IF(AL$4&lt;=Assumptions!$B$63,1,0)+IF(AL$4&gt;=Assumptions!$B$68,Assumptions!$B$64,0)</f>
        <v/>
      </c>
    </row>
    <row r="66">
      <c r="A66" s="6" t="inlineStr">
        <is>
          <t>Van 2 down payment</t>
        </is>
      </c>
      <c r="B66" s="11" t="inlineStr">
        <is>
          <t>$</t>
        </is>
      </c>
      <c r="C66" s="10">
        <f>IF(C$4=Assumptions!$B$68,Assumptions!$B$61,0)</f>
        <v/>
      </c>
      <c r="D66" s="10">
        <f>IF(D$4=Assumptions!$B$68,Assumptions!$B$61,0)</f>
        <v/>
      </c>
      <c r="E66" s="10">
        <f>IF(E$4=Assumptions!$B$68,Assumptions!$B$61,0)</f>
        <v/>
      </c>
      <c r="F66" s="10">
        <f>IF(F$4=Assumptions!$B$68,Assumptions!$B$61,0)</f>
        <v/>
      </c>
      <c r="G66" s="10">
        <f>IF(G$4=Assumptions!$B$68,Assumptions!$B$61,0)</f>
        <v/>
      </c>
      <c r="H66" s="10">
        <f>IF(H$4=Assumptions!$B$68,Assumptions!$B$61,0)</f>
        <v/>
      </c>
      <c r="I66" s="10">
        <f>IF(I$4=Assumptions!$B$68,Assumptions!$B$61,0)</f>
        <v/>
      </c>
      <c r="J66" s="10">
        <f>IF(J$4=Assumptions!$B$68,Assumptions!$B$61,0)</f>
        <v/>
      </c>
      <c r="K66" s="10">
        <f>IF(K$4=Assumptions!$B$68,Assumptions!$B$61,0)</f>
        <v/>
      </c>
      <c r="L66" s="10">
        <f>IF(L$4=Assumptions!$B$68,Assumptions!$B$61,0)</f>
        <v/>
      </c>
      <c r="M66" s="10">
        <f>IF(M$4=Assumptions!$B$68,Assumptions!$B$61,0)</f>
        <v/>
      </c>
      <c r="N66" s="10">
        <f>IF(N$4=Assumptions!$B$68,Assumptions!$B$61,0)</f>
        <v/>
      </c>
      <c r="O66" s="10">
        <f>IF(O$4=Assumptions!$B$68,Assumptions!$B$61,0)</f>
        <v/>
      </c>
      <c r="P66" s="10">
        <f>IF(P$4=Assumptions!$B$68,Assumptions!$B$61,0)</f>
        <v/>
      </c>
      <c r="Q66" s="10">
        <f>IF(Q$4=Assumptions!$B$68,Assumptions!$B$61,0)</f>
        <v/>
      </c>
      <c r="R66" s="10">
        <f>IF(R$4=Assumptions!$B$68,Assumptions!$B$61,0)</f>
        <v/>
      </c>
      <c r="S66" s="10">
        <f>IF(S$4=Assumptions!$B$68,Assumptions!$B$61,0)</f>
        <v/>
      </c>
      <c r="T66" s="10">
        <f>IF(T$4=Assumptions!$B$68,Assumptions!$B$61,0)</f>
        <v/>
      </c>
      <c r="U66" s="10">
        <f>IF(U$4=Assumptions!$B$68,Assumptions!$B$61,0)</f>
        <v/>
      </c>
      <c r="V66" s="10">
        <f>IF(V$4=Assumptions!$B$68,Assumptions!$B$61,0)</f>
        <v/>
      </c>
      <c r="W66" s="10">
        <f>IF(W$4=Assumptions!$B$68,Assumptions!$B$61,0)</f>
        <v/>
      </c>
      <c r="X66" s="10">
        <f>IF(X$4=Assumptions!$B$68,Assumptions!$B$61,0)</f>
        <v/>
      </c>
      <c r="Y66" s="10">
        <f>IF(Y$4=Assumptions!$B$68,Assumptions!$B$61,0)</f>
        <v/>
      </c>
      <c r="Z66" s="10">
        <f>IF(Z$4=Assumptions!$B$68,Assumptions!$B$61,0)</f>
        <v/>
      </c>
      <c r="AA66" s="10">
        <f>IF(AA$4=Assumptions!$B$68,Assumptions!$B$61,0)</f>
        <v/>
      </c>
      <c r="AB66" s="10">
        <f>IF(AB$4=Assumptions!$B$68,Assumptions!$B$61,0)</f>
        <v/>
      </c>
      <c r="AC66" s="10">
        <f>IF(AC$4=Assumptions!$B$68,Assumptions!$B$61,0)</f>
        <v/>
      </c>
      <c r="AD66" s="10">
        <f>IF(AD$4=Assumptions!$B$68,Assumptions!$B$61,0)</f>
        <v/>
      </c>
      <c r="AE66" s="10">
        <f>IF(AE$4=Assumptions!$B$68,Assumptions!$B$61,0)</f>
        <v/>
      </c>
      <c r="AF66" s="10">
        <f>IF(AF$4=Assumptions!$B$68,Assumptions!$B$61,0)</f>
        <v/>
      </c>
      <c r="AG66" s="10">
        <f>IF(AG$4=Assumptions!$B$68,Assumptions!$B$61,0)</f>
        <v/>
      </c>
      <c r="AH66" s="10">
        <f>IF(AH$4=Assumptions!$B$68,Assumptions!$B$61,0)</f>
        <v/>
      </c>
      <c r="AI66" s="10">
        <f>IF(AI$4=Assumptions!$B$68,Assumptions!$B$61,0)</f>
        <v/>
      </c>
      <c r="AJ66" s="10">
        <f>IF(AJ$4=Assumptions!$B$68,Assumptions!$B$61,0)</f>
        <v/>
      </c>
      <c r="AK66" s="10">
        <f>IF(AK$4=Assumptions!$B$68,Assumptions!$B$61,0)</f>
        <v/>
      </c>
      <c r="AL66" s="10">
        <f>IF(AL$4=Assumptions!$B$68,Assumptions!$B$61,0)</f>
        <v/>
      </c>
    </row>
    <row r="67">
      <c r="A67" s="6" t="inlineStr">
        <is>
          <t>Owner draw</t>
        </is>
      </c>
      <c r="B67" s="11" t="inlineStr">
        <is>
          <t>$</t>
        </is>
      </c>
      <c r="C67" s="10">
        <f>C56</f>
        <v/>
      </c>
      <c r="D67" s="10">
        <f>D56</f>
        <v/>
      </c>
      <c r="E67" s="10">
        <f>E56</f>
        <v/>
      </c>
      <c r="F67" s="10">
        <f>F56</f>
        <v/>
      </c>
      <c r="G67" s="10">
        <f>G56</f>
        <v/>
      </c>
      <c r="H67" s="10">
        <f>H56</f>
        <v/>
      </c>
      <c r="I67" s="10">
        <f>I56</f>
        <v/>
      </c>
      <c r="J67" s="10">
        <f>J56</f>
        <v/>
      </c>
      <c r="K67" s="10">
        <f>K56</f>
        <v/>
      </c>
      <c r="L67" s="10">
        <f>L56</f>
        <v/>
      </c>
      <c r="M67" s="10">
        <f>M56</f>
        <v/>
      </c>
      <c r="N67" s="10">
        <f>N56</f>
        <v/>
      </c>
      <c r="O67" s="10">
        <f>O56</f>
        <v/>
      </c>
      <c r="P67" s="10">
        <f>P56</f>
        <v/>
      </c>
      <c r="Q67" s="10">
        <f>Q56</f>
        <v/>
      </c>
      <c r="R67" s="10">
        <f>R56</f>
        <v/>
      </c>
      <c r="S67" s="10">
        <f>S56</f>
        <v/>
      </c>
      <c r="T67" s="10">
        <f>T56</f>
        <v/>
      </c>
      <c r="U67" s="10">
        <f>U56</f>
        <v/>
      </c>
      <c r="V67" s="10">
        <f>V56</f>
        <v/>
      </c>
      <c r="W67" s="10">
        <f>W56</f>
        <v/>
      </c>
      <c r="X67" s="10">
        <f>X56</f>
        <v/>
      </c>
      <c r="Y67" s="10">
        <f>Y56</f>
        <v/>
      </c>
      <c r="Z67" s="10">
        <f>Z56</f>
        <v/>
      </c>
      <c r="AA67" s="10">
        <f>AA56</f>
        <v/>
      </c>
      <c r="AB67" s="10">
        <f>AB56</f>
        <v/>
      </c>
      <c r="AC67" s="10">
        <f>AC56</f>
        <v/>
      </c>
      <c r="AD67" s="10">
        <f>AD56</f>
        <v/>
      </c>
      <c r="AE67" s="10">
        <f>AE56</f>
        <v/>
      </c>
      <c r="AF67" s="10">
        <f>AF56</f>
        <v/>
      </c>
      <c r="AG67" s="10">
        <f>AG56</f>
        <v/>
      </c>
      <c r="AH67" s="10">
        <f>AH56</f>
        <v/>
      </c>
      <c r="AI67" s="10">
        <f>AI56</f>
        <v/>
      </c>
      <c r="AJ67" s="10">
        <f>AJ56</f>
        <v/>
      </c>
      <c r="AK67" s="10">
        <f>AK56</f>
        <v/>
      </c>
      <c r="AL67" s="10">
        <f>AL56</f>
        <v/>
      </c>
    </row>
    <row r="68">
      <c r="A68" s="12" t="inlineStr">
        <is>
          <t>Net cash flow</t>
        </is>
      </c>
      <c r="B68" s="11" t="inlineStr">
        <is>
          <t>$</t>
        </is>
      </c>
      <c r="C68" s="27">
        <f>C61-C62-C63-C64-C65-C66-C67</f>
        <v/>
      </c>
      <c r="D68" s="27">
        <f>D61-D62-D63-D64-D65-D66-D67</f>
        <v/>
      </c>
      <c r="E68" s="27">
        <f>E61-E62-E63-E64-E65-E66-E67</f>
        <v/>
      </c>
      <c r="F68" s="27">
        <f>F61-F62-F63-F64-F65-F66-F67</f>
        <v/>
      </c>
      <c r="G68" s="27">
        <f>G61-G62-G63-G64-G65-G66-G67</f>
        <v/>
      </c>
      <c r="H68" s="27">
        <f>H61-H62-H63-H64-H65-H66-H67</f>
        <v/>
      </c>
      <c r="I68" s="27">
        <f>I61-I62-I63-I64-I65-I66-I67</f>
        <v/>
      </c>
      <c r="J68" s="27">
        <f>J61-J62-J63-J64-J65-J66-J67</f>
        <v/>
      </c>
      <c r="K68" s="27">
        <f>K61-K62-K63-K64-K65-K66-K67</f>
        <v/>
      </c>
      <c r="L68" s="27">
        <f>L61-L62-L63-L64-L65-L66-L67</f>
        <v/>
      </c>
      <c r="M68" s="27">
        <f>M61-M62-M63-M64-M65-M66-M67</f>
        <v/>
      </c>
      <c r="N68" s="27">
        <f>N61-N62-N63-N64-N65-N66-N67</f>
        <v/>
      </c>
      <c r="O68" s="27">
        <f>O61-O62-O63-O64-O65-O66-O67</f>
        <v/>
      </c>
      <c r="P68" s="27">
        <f>P61-P62-P63-P64-P65-P66-P67</f>
        <v/>
      </c>
      <c r="Q68" s="27">
        <f>Q61-Q62-Q63-Q64-Q65-Q66-Q67</f>
        <v/>
      </c>
      <c r="R68" s="27">
        <f>R61-R62-R63-R64-R65-R66-R67</f>
        <v/>
      </c>
      <c r="S68" s="27">
        <f>S61-S62-S63-S64-S65-S66-S67</f>
        <v/>
      </c>
      <c r="T68" s="27">
        <f>T61-T62-T63-T64-T65-T66-T67</f>
        <v/>
      </c>
      <c r="U68" s="27">
        <f>U61-U62-U63-U64-U65-U66-U67</f>
        <v/>
      </c>
      <c r="V68" s="27">
        <f>V61-V62-V63-V64-V65-V66-V67</f>
        <v/>
      </c>
      <c r="W68" s="27">
        <f>W61-W62-W63-W64-W65-W66-W67</f>
        <v/>
      </c>
      <c r="X68" s="27">
        <f>X61-X62-X63-X64-X65-X66-X67</f>
        <v/>
      </c>
      <c r="Y68" s="27">
        <f>Y61-Y62-Y63-Y64-Y65-Y66-Y67</f>
        <v/>
      </c>
      <c r="Z68" s="27">
        <f>Z61-Z62-Z63-Z64-Z65-Z66-Z67</f>
        <v/>
      </c>
      <c r="AA68" s="27">
        <f>AA61-AA62-AA63-AA64-AA65-AA66-AA67</f>
        <v/>
      </c>
      <c r="AB68" s="27">
        <f>AB61-AB62-AB63-AB64-AB65-AB66-AB67</f>
        <v/>
      </c>
      <c r="AC68" s="27">
        <f>AC61-AC62-AC63-AC64-AC65-AC66-AC67</f>
        <v/>
      </c>
      <c r="AD68" s="27">
        <f>AD61-AD62-AD63-AD64-AD65-AD66-AD67</f>
        <v/>
      </c>
      <c r="AE68" s="27">
        <f>AE61-AE62-AE63-AE64-AE65-AE66-AE67</f>
        <v/>
      </c>
      <c r="AF68" s="27">
        <f>AF61-AF62-AF63-AF64-AF65-AF66-AF67</f>
        <v/>
      </c>
      <c r="AG68" s="27">
        <f>AG61-AG62-AG63-AG64-AG65-AG66-AG67</f>
        <v/>
      </c>
      <c r="AH68" s="27">
        <f>AH61-AH62-AH63-AH64-AH65-AH66-AH67</f>
        <v/>
      </c>
      <c r="AI68" s="27">
        <f>AI61-AI62-AI63-AI64-AI65-AI66-AI67</f>
        <v/>
      </c>
      <c r="AJ68" s="27">
        <f>AJ61-AJ62-AJ63-AJ64-AJ65-AJ66-AJ67</f>
        <v/>
      </c>
      <c r="AK68" s="27">
        <f>AK61-AK62-AK63-AK64-AK65-AK66-AK67</f>
        <v/>
      </c>
      <c r="AL68" s="27">
        <f>AL61-AL62-AL63-AL64-AL65-AL66-AL67</f>
        <v/>
      </c>
    </row>
    <row r="69">
      <c r="A69" s="6" t="inlineStr">
        <is>
          <t>Opening cash</t>
        </is>
      </c>
      <c r="B69" s="11" t="inlineStr">
        <is>
          <t>$</t>
        </is>
      </c>
      <c r="C69" s="26">
        <f>'Startup Costs'!$D$21</f>
        <v/>
      </c>
      <c r="D69" s="26">
        <f>C70</f>
        <v/>
      </c>
      <c r="E69" s="26">
        <f>D70</f>
        <v/>
      </c>
      <c r="F69" s="26">
        <f>E70</f>
        <v/>
      </c>
      <c r="G69" s="26">
        <f>F70</f>
        <v/>
      </c>
      <c r="H69" s="26">
        <f>G70</f>
        <v/>
      </c>
      <c r="I69" s="26">
        <f>H70</f>
        <v/>
      </c>
      <c r="J69" s="26">
        <f>I70</f>
        <v/>
      </c>
      <c r="K69" s="26">
        <f>J70</f>
        <v/>
      </c>
      <c r="L69" s="26">
        <f>K70</f>
        <v/>
      </c>
      <c r="M69" s="26">
        <f>L70</f>
        <v/>
      </c>
      <c r="N69" s="26">
        <f>M70</f>
        <v/>
      </c>
      <c r="O69" s="26">
        <f>N70</f>
        <v/>
      </c>
      <c r="P69" s="26">
        <f>O70</f>
        <v/>
      </c>
      <c r="Q69" s="26">
        <f>P70</f>
        <v/>
      </c>
      <c r="R69" s="26">
        <f>Q70</f>
        <v/>
      </c>
      <c r="S69" s="26">
        <f>R70</f>
        <v/>
      </c>
      <c r="T69" s="26">
        <f>S70</f>
        <v/>
      </c>
      <c r="U69" s="26">
        <f>T70</f>
        <v/>
      </c>
      <c r="V69" s="26">
        <f>U70</f>
        <v/>
      </c>
      <c r="W69" s="26">
        <f>V70</f>
        <v/>
      </c>
      <c r="X69" s="26">
        <f>W70</f>
        <v/>
      </c>
      <c r="Y69" s="26">
        <f>X70</f>
        <v/>
      </c>
      <c r="Z69" s="26">
        <f>Y70</f>
        <v/>
      </c>
      <c r="AA69" s="26">
        <f>Z70</f>
        <v/>
      </c>
      <c r="AB69" s="26">
        <f>AA70</f>
        <v/>
      </c>
      <c r="AC69" s="26">
        <f>AB70</f>
        <v/>
      </c>
      <c r="AD69" s="26">
        <f>AC70</f>
        <v/>
      </c>
      <c r="AE69" s="26">
        <f>AD70</f>
        <v/>
      </c>
      <c r="AF69" s="26">
        <f>AE70</f>
        <v/>
      </c>
      <c r="AG69" s="26">
        <f>AF70</f>
        <v/>
      </c>
      <c r="AH69" s="26">
        <f>AG70</f>
        <v/>
      </c>
      <c r="AI69" s="26">
        <f>AH70</f>
        <v/>
      </c>
      <c r="AJ69" s="26">
        <f>AI70</f>
        <v/>
      </c>
      <c r="AK69" s="26">
        <f>AJ70</f>
        <v/>
      </c>
      <c r="AL69" s="26">
        <f>AK70</f>
        <v/>
      </c>
    </row>
    <row r="70">
      <c r="A70" s="12" t="inlineStr">
        <is>
          <t>Ending cash</t>
        </is>
      </c>
      <c r="B70" s="11" t="inlineStr">
        <is>
          <t>$</t>
        </is>
      </c>
      <c r="C70" s="15">
        <f>C69+C68</f>
        <v/>
      </c>
      <c r="D70" s="15">
        <f>D69+D68</f>
        <v/>
      </c>
      <c r="E70" s="15">
        <f>E69+E68</f>
        <v/>
      </c>
      <c r="F70" s="15">
        <f>F69+F68</f>
        <v/>
      </c>
      <c r="G70" s="15">
        <f>G69+G68</f>
        <v/>
      </c>
      <c r="H70" s="15">
        <f>H69+H68</f>
        <v/>
      </c>
      <c r="I70" s="15">
        <f>I69+I68</f>
        <v/>
      </c>
      <c r="J70" s="15">
        <f>J69+J68</f>
        <v/>
      </c>
      <c r="K70" s="15">
        <f>K69+K68</f>
        <v/>
      </c>
      <c r="L70" s="15">
        <f>L69+L68</f>
        <v/>
      </c>
      <c r="M70" s="15">
        <f>M69+M68</f>
        <v/>
      </c>
      <c r="N70" s="15">
        <f>N69+N68</f>
        <v/>
      </c>
      <c r="O70" s="15">
        <f>O69+O68</f>
        <v/>
      </c>
      <c r="P70" s="15">
        <f>P69+P68</f>
        <v/>
      </c>
      <c r="Q70" s="15">
        <f>Q69+Q68</f>
        <v/>
      </c>
      <c r="R70" s="15">
        <f>R69+R68</f>
        <v/>
      </c>
      <c r="S70" s="15">
        <f>S69+S68</f>
        <v/>
      </c>
      <c r="T70" s="15">
        <f>T69+T68</f>
        <v/>
      </c>
      <c r="U70" s="15">
        <f>U69+U68</f>
        <v/>
      </c>
      <c r="V70" s="15">
        <f>V69+V68</f>
        <v/>
      </c>
      <c r="W70" s="15">
        <f>W69+W68</f>
        <v/>
      </c>
      <c r="X70" s="15">
        <f>X69+X68</f>
        <v/>
      </c>
      <c r="Y70" s="15">
        <f>Y69+Y68</f>
        <v/>
      </c>
      <c r="Z70" s="15">
        <f>Z69+Z68</f>
        <v/>
      </c>
      <c r="AA70" s="15">
        <f>AA69+AA68</f>
        <v/>
      </c>
      <c r="AB70" s="15">
        <f>AB69+AB68</f>
        <v/>
      </c>
      <c r="AC70" s="15">
        <f>AC69+AC68</f>
        <v/>
      </c>
      <c r="AD70" s="15">
        <f>AD69+AD68</f>
        <v/>
      </c>
      <c r="AE70" s="15">
        <f>AE69+AE68</f>
        <v/>
      </c>
      <c r="AF70" s="15">
        <f>AF69+AF68</f>
        <v/>
      </c>
      <c r="AG70" s="15">
        <f>AG69+AG68</f>
        <v/>
      </c>
      <c r="AH70" s="15">
        <f>AH69+AH68</f>
        <v/>
      </c>
      <c r="AI70" s="15">
        <f>AI69+AI68</f>
        <v/>
      </c>
      <c r="AJ70" s="15">
        <f>AJ69+AJ68</f>
        <v/>
      </c>
      <c r="AK70" s="15">
        <f>AK69+AK68</f>
        <v/>
      </c>
      <c r="AL70" s="15">
        <f>AL69+AL68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2026-10-09T19:07:22Z</dcterms:created>
  <dcterms:modified xsi:type="dcterms:W3CDTF">2026-10-09T19:07:22Z</dcterms:modified>
</cp:coreProperties>
</file>